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تابعة الصفية" sheetId="1" state="visible" r:id="rId3"/>
    <sheet name="مفتاح الإجابات" sheetId="2" state="visible" r:id="rId4"/>
    <sheet name="طريقة الاستخدام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<sst xmlns="http://schemas.openxmlformats.org/spreadsheetml/2006/main" count="268" uniqueCount="124">
  <si>
    <t xml:space="preserve">متابعة إجابات الطلاب في الدفاتر · أسئلة الوحدة الأولى (الكائنات الحية الدقيقة) · ص٣٤–٣٨</t>
  </si>
  <si>
    <t xml:space="preserve">م</t>
  </si>
  <si>
    <t xml:space="preserve">اسم الطالب</t>
  </si>
  <si>
    <t xml:space="preserve">الصف</t>
  </si>
  <si>
    <t xml:space="preserve">الشعبة</t>
  </si>
  <si>
    <t xml:space="preserve">السؤال الأول · ص٣٤–٣٥</t>
  </si>
  <si>
    <t xml:space="preserve">السؤال الثاني · ص٣٥</t>
  </si>
  <si>
    <t xml:space="preserve">السؤال الثالث · ص٣٦</t>
  </si>
  <si>
    <t xml:space="preserve">السؤال الرابع · ص٣٦</t>
  </si>
  <si>
    <t xml:space="preserve">السؤال الخامس · ص٣٧</t>
  </si>
  <si>
    <t xml:space="preserve">السؤال السادس · ص٣٧</t>
  </si>
  <si>
    <t xml:space="preserve">السؤال السابع · ص٣٨</t>
  </si>
  <si>
    <t xml:space="preserve">السؤال الثامن · ص٣٨</t>
  </si>
  <si>
    <t xml:space="preserve">السؤال التاسع · ص٣٨</t>
  </si>
  <si>
    <t xml:space="preserve">المجاب</t>
  </si>
  <si>
    <t xml:space="preserve">صح</t>
  </si>
  <si>
    <t xml:space="preserve">خطأ</t>
  </si>
  <si>
    <t xml:space="preserve">الفارغ</t>
  </si>
  <si>
    <t xml:space="preserve">الحالة</t>
  </si>
  <si>
    <t xml:space="preserve">١</t>
  </si>
  <si>
    <t xml:space="preserve">٢</t>
  </si>
  <si>
    <t xml:space="preserve">٣</t>
  </si>
  <si>
    <t xml:space="preserve">٤</t>
  </si>
  <si>
    <t xml:space="preserve">٥</t>
  </si>
  <si>
    <t xml:space="preserve">٦</t>
  </si>
  <si>
    <t xml:space="preserve">٧</t>
  </si>
  <si>
    <t xml:space="preserve">٨</t>
  </si>
  <si>
    <t xml:space="preserve">٩</t>
  </si>
  <si>
    <t xml:space="preserve">١٠</t>
  </si>
  <si>
    <t xml:space="preserve">✓</t>
  </si>
  <si>
    <t xml:space="preserve">ف١</t>
  </si>
  <si>
    <t xml:space="preserve">ف٢</t>
  </si>
  <si>
    <t xml:space="preserve">ف٣</t>
  </si>
  <si>
    <t xml:space="preserve">ف٤</t>
  </si>
  <si>
    <t xml:space="preserve">ف٥</t>
  </si>
  <si>
    <t xml:space="preserve">ف٦</t>
  </si>
  <si>
    <t xml:space="preserve">السادس الأساسي</t>
  </si>
  <si>
    <t xml:space="preserve">ملخص الصف (للطلاب المسجّلين)</t>
  </si>
  <si>
    <t xml:space="preserve">عدد الصح</t>
  </si>
  <si>
    <t xml:space="preserve">عدد الخطأ</t>
  </si>
  <si>
    <t xml:space="preserve">عدد الفارغ</t>
  </si>
  <si>
    <t xml:space="preserve">السؤال</t>
  </si>
  <si>
    <t xml:space="preserve">الفرع</t>
  </si>
  <si>
    <t xml:space="preserve">الصفحة</t>
  </si>
  <si>
    <t xml:space="preserve">الإجابة النموذجية</t>
  </si>
  <si>
    <t xml:space="preserve">الأول</t>
  </si>
  <si>
    <t xml:space="preserve">فقرة ١</t>
  </si>
  <si>
    <t xml:space="preserve">٣٤</t>
  </si>
  <si>
    <t xml:space="preserve">ب: المكثّف</t>
  </si>
  <si>
    <t xml:space="preserve">فقرة ٢</t>
  </si>
  <si>
    <t xml:space="preserve">ب: الغذاء والحرارة</t>
  </si>
  <si>
    <t xml:space="preserve">فقرة ٣</t>
  </si>
  <si>
    <t xml:space="preserve">ج: البكتيريا والبكتيريا الخضراء المزرقة</t>
  </si>
  <si>
    <t xml:space="preserve">فقرة ٤</t>
  </si>
  <si>
    <t xml:space="preserve">أ: وحيدة الخلية</t>
  </si>
  <si>
    <t xml:space="preserve">فقرة ٥</t>
  </si>
  <si>
    <t xml:space="preserve">ب: البلازموديوم</t>
  </si>
  <si>
    <t xml:space="preserve">فقرة ٦</t>
  </si>
  <si>
    <t xml:space="preserve">د: غير ذاتية التغذية</t>
  </si>
  <si>
    <t xml:space="preserve">فقرة ٧</t>
  </si>
  <si>
    <t xml:space="preserve">٣٥</t>
  </si>
  <si>
    <t xml:space="preserve">أ: الكلاميدوموناس</t>
  </si>
  <si>
    <t xml:space="preserve">فقرة ٨</t>
  </si>
  <si>
    <t xml:space="preserve">ج: الأبقار</t>
  </si>
  <si>
    <t xml:space="preserve">فقرة ٩</t>
  </si>
  <si>
    <t xml:space="preserve">أ: البلازموديوم</t>
  </si>
  <si>
    <t xml:space="preserve">فقرة ١٠</t>
  </si>
  <si>
    <t xml:space="preserve">ب: صدأ القمح</t>
  </si>
  <si>
    <t xml:space="preserve">الثاني</t>
  </si>
  <si>
    <t xml:space="preserve">١. الكائنات الحية الدقيقة</t>
  </si>
  <si>
    <t xml:space="preserve">كائنات لا تُرى بالعين المجردة، ويمكن أن تعيش في أماكن متعددة وتنمو وتتكاثر إذا توفرت لها العوامل المناسبة.</t>
  </si>
  <si>
    <t xml:space="preserve">٢. الفيروسات</t>
  </si>
  <si>
    <t xml:space="preserve">دقائق لا خلوية تتكون من مادة وراثية محاطة بغلاف خارجي، تهاجم الخلايا الحية وتتطفل عليها لتتكاثر وتنمو داخلها، وتسلك سلوك الجمادات عندما تكون خارج الخلايا الحية.</t>
  </si>
  <si>
    <t xml:space="preserve">٣. الأوليات</t>
  </si>
  <si>
    <t xml:space="preserve">كائنات حية دقيقة وحيدة الخلية مختلفة الأشكال والأحجام، تعيش في الأوساط السائلة سواء كانت مياه عذبة أو مالحة أو في الدم ويسبب بعضها الأمراض.</t>
  </si>
  <si>
    <t xml:space="preserve">٤. المناعة</t>
  </si>
  <si>
    <t xml:space="preserve">قدرة الجسم على مقاومة مسببات الأمراض والقضاء عليها ومنعها من إحداث خلل بأعضائه وخلاياه.</t>
  </si>
  <si>
    <t xml:space="preserve">٥. المرض</t>
  </si>
  <si>
    <t xml:space="preserve">حدوث خلل في وظيفة عضو أو جهاز أو أكثر في الجسم.</t>
  </si>
  <si>
    <t xml:space="preserve">الثالث</t>
  </si>
  <si>
    <t xml:space="preserve">عبارة ١</t>
  </si>
  <si>
    <t xml:space="preserve">٣٦</t>
  </si>
  <si>
    <t xml:space="preserve">لا: بعض الكائنات الحية الدقيقة وحيدة الخلية وبعضها الآخر متعدد الخلايا.</t>
  </si>
  <si>
    <t xml:space="preserve">عبارة ٢</t>
  </si>
  <si>
    <t xml:space="preserve">لا: الفيروسات متخصصة، حيث يهاجم النوع الواحد نوعاً واحداً من الخلايا الحية.</t>
  </si>
  <si>
    <t xml:space="preserve">عبارة ٣</t>
  </si>
  <si>
    <t xml:space="preserve">لا: تتحرك الأميبا بالأقدام الكاذبة، أما البلازموديوم فحركته انزلاقية.</t>
  </si>
  <si>
    <t xml:space="preserve">عبارة ٤</t>
  </si>
  <si>
    <t xml:space="preserve">لا: البكتيريا الخضراء المزرقة فقط من البدائيات التي تصنع غذاءها بنفسها لوجود البلاستيدات الخضراء.</t>
  </si>
  <si>
    <t xml:space="preserve">عبارة ٥</t>
  </si>
  <si>
    <t xml:space="preserve">نعم</t>
  </si>
  <si>
    <t xml:space="preserve">الرابع</t>
  </si>
  <si>
    <t xml:space="preserve">التفسير</t>
  </si>
  <si>
    <t xml:space="preserve">عند انقطاع التيار الكهربائي ترتفع درجة حرارة هذه المواد الغذائية، وقد تصل لدرجة الحرارة التي تساعد على نمو وتكاثر الكائنات الحية الدقيقة وبالتالي تتلف هذه الأغذية.</t>
  </si>
  <si>
    <t xml:space="preserve">الخامس</t>
  </si>
  <si>
    <t xml:space="preserve">٣٧</t>
  </si>
  <si>
    <t xml:space="preserve">الطلائعيات</t>
  </si>
  <si>
    <t xml:space="preserve">البكتيريا الحقيقية</t>
  </si>
  <si>
    <t xml:space="preserve">الأوليات</t>
  </si>
  <si>
    <t xml:space="preserve">ذوات الأقدام الكاذبة (الفراغات ٤–٦ بأي ترتيب)</t>
  </si>
  <si>
    <t xml:space="preserve">السوطيات</t>
  </si>
  <si>
    <t xml:space="preserve">الهدبيات</t>
  </si>
  <si>
    <t xml:space="preserve">السادس</t>
  </si>
  <si>
    <t xml:space="preserve">الطحالب، لاحتوائه على البلاستيدات الخضراء التي تساعد على تصنيع غذائه بنفسه وخلاياه حقيقية النواة، وهذه من صفات الطحالب.</t>
  </si>
  <si>
    <t xml:space="preserve">السابع</t>
  </si>
  <si>
    <t xml:space="preserve">التعليل 1</t>
  </si>
  <si>
    <t xml:space="preserve">٣٨</t>
  </si>
  <si>
    <t xml:space="preserve">لأن الطحالب تُعتبر من المنتجات ضمن السلاسل الغذائية، إذ يمكنها تصنيع غذائها بنفسها لاحتوائها على البلاستيدات الخضراء.</t>
  </si>
  <si>
    <t xml:space="preserve">التعليل 2</t>
  </si>
  <si>
    <t xml:space="preserve">لأنها دقائق لا خلوية لا تُبدي نشاطاً حيوياً إلا داخل خلايا الكائنات الحية وتسلك سلوك الجمادات خارج الخلايا الحية.</t>
  </si>
  <si>
    <t xml:space="preserve">التعليل 3</t>
  </si>
  <si>
    <t xml:space="preserve">لأنها تقوم عليها العديد من الصناعات المختلفة وتسهم في توازن النظام البيئي وتنظيف البيئة. (يُقبل التعبير الحر)</t>
  </si>
  <si>
    <t xml:space="preserve">الثامن</t>
  </si>
  <si>
    <t xml:space="preserve">الشروط</t>
  </si>
  <si>
    <t xml:space="preserve">الشروط هي: ١- ضوء الشمس (درجة الحرارة المناسبة). ٢- الرطوبة.</t>
  </si>
  <si>
    <t xml:space="preserve">التاسع</t>
  </si>
  <si>
    <t xml:space="preserve">أقيّم ذاتي</t>
  </si>
  <si>
    <t xml:space="preserve">إجابة حرة بما لا يزيد عن ثلاثة أسطر (يُسجَّل «تم» إن أجاب).</t>
  </si>
  <si>
    <t xml:space="preserve">١. اكتب اسم الطالب وشعبته في الصفوف (٧٠ طالباً)، والصف «السادس الأساسي» معبّأ مسبقاً.</t>
  </si>
  <si>
    <t xml:space="preserve">٢. افتح دفتر الطالب وقارن كل فرع بورقة «مفتاح الإجابات»، ثم اختر من القائمة: صح أو خطأ.</t>
  </si>
  <si>
    <t xml:space="preserve">٣. إذا لم يجب الطالب عن الفرع فاترك الخلية فارغة، فتبقى فارغة وتُحتسب «فارغاً» في عمود الحالة.</t>
  </si>
  <si>
    <t xml:space="preserve">٤. السؤال التاسع: اختر «تم» إذا كتب الطالب إجابته.</t>
  </si>
  <si>
    <t xml:space="preserve">٥. عمود «الحالة» يظهر تلقائياً: لم يحل / حلّ جزئياً / حلّ كاملاً. وتحت الجدول ملخص للصف بعدد الصح والخطأ والفارغ لكل فرع.</t>
  </si>
  <si>
    <t xml:space="preserve">٦. لا توجد علامات: الهدف متابعة الالتزام بالإجابة في الدفاتر.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</si>
</sst>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B3B3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B7A7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7A75"/>
        <bgColor rgb="FF008080"/>
      </patternFill>
    </fill>
    <fill>
      <patternFill patternType="solid">
        <fgColor rgb="FFD3EFEB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FB8B5"/>
      </left>
      <right style="thin">
        <color rgb="FF9FB8B5"/>
      </right>
      <top style="thin">
        <color rgb="FF9FB8B5"/>
      </top>
      <bottom style="thin">
        <color rgb="FF9FB8B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b val="1"/>
        <color rgb="FFC659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B7A75"/>
      <rgbColor rgb="FF9FB8B5"/>
      <rgbColor rgb="FF808080"/>
      <rgbColor rgb="FF9999FF"/>
      <rgbColor rgb="FF993366"/>
      <rgbColor rgb="FFFFFFCC"/>
      <rgbColor rgb="FFD3EF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65911"/>
      <rgbColor rgb="FF666699"/>
      <rgbColor rgb="FF969696"/>
      <rgbColor rgb="FF0B3B3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P7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7"/>
    <col collapsed="false" customWidth="true" hidden="false" outlineLevel="0" max="4" min="4" style="0" width="8"/>
    <col collapsed="false" customWidth="true" hidden="false" outlineLevel="0" max="37" min="5" style="0" width="6"/>
    <col collapsed="false" customWidth="true" hidden="false" outlineLevel="0" max="38" min="38" style="0" width="8"/>
    <col collapsed="false" customWidth="true" hidden="false" outlineLevel="0" max="40" min="39" style="0" width="6"/>
    <col collapsed="false" customWidth="true" hidden="false" outlineLevel="0" max="41" min="41" style="0" width="8"/>
    <col collapsed="false" customWidth="true" hidden="false" outlineLevel="0" max="42" min="42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customFormat="false" ht="33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/>
      <c r="H2" s="2"/>
      <c r="I2" s="2"/>
      <c r="J2" s="2"/>
      <c r="K2" s="2"/>
      <c r="L2" s="2"/>
      <c r="M2" s="2"/>
      <c r="N2" s="2"/>
      <c r="O2" s="2" t="s">
        <v>6</v>
      </c>
      <c r="P2" s="2"/>
      <c r="Q2" s="2"/>
      <c r="R2" s="2"/>
      <c r="S2" s="2"/>
      <c r="T2" s="2" t="s">
        <v>7</v>
      </c>
      <c r="U2" s="2"/>
      <c r="V2" s="2"/>
      <c r="W2" s="2"/>
      <c r="X2" s="2"/>
      <c r="Y2" s="2" t="s">
        <v>8</v>
      </c>
      <c r="Z2" s="2" t="s">
        <v>9</v>
      </c>
      <c r="AA2" s="2"/>
      <c r="AB2" s="2"/>
      <c r="AC2" s="2"/>
      <c r="AD2" s="2"/>
      <c r="AE2" s="2"/>
      <c r="AF2" s="2" t="s">
        <v>10</v>
      </c>
      <c r="AG2" s="2" t="s">
        <v>11</v>
      </c>
      <c r="AH2" s="2"/>
      <c r="AI2" s="2"/>
      <c r="AJ2" s="2" t="s">
        <v>12</v>
      </c>
      <c r="AK2" s="2" t="s">
        <v>13</v>
      </c>
      <c r="AL2" s="2" t="s">
        <v>14</v>
      </c>
      <c r="AM2" s="2" t="s">
        <v>15</v>
      </c>
      <c r="AN2" s="2" t="s">
        <v>16</v>
      </c>
      <c r="AO2" s="2" t="s">
        <v>17</v>
      </c>
      <c r="AP2" s="2" t="s">
        <v>18</v>
      </c>
    </row>
    <row r="3" customFormat="false" ht="19.5" hidden="false" customHeight="true" outlineLevel="0" collapsed="false">
      <c r="A3" s="2"/>
      <c r="B3" s="2"/>
      <c r="C3" s="2"/>
      <c r="D3" s="2"/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29</v>
      </c>
      <c r="Z3" s="3" t="s">
        <v>30</v>
      </c>
      <c r="AA3" s="3" t="s">
        <v>31</v>
      </c>
      <c r="AB3" s="3" t="s">
        <v>32</v>
      </c>
      <c r="AC3" s="3" t="s">
        <v>33</v>
      </c>
      <c r="AD3" s="3" t="s">
        <v>34</v>
      </c>
      <c r="AE3" s="3" t="s">
        <v>35</v>
      </c>
      <c r="AF3" s="3" t="s">
        <v>29</v>
      </c>
      <c r="AG3" s="3" t="s">
        <v>19</v>
      </c>
      <c r="AH3" s="3" t="s">
        <v>20</v>
      </c>
      <c r="AI3" s="3" t="s">
        <v>21</v>
      </c>
      <c r="AJ3" s="3" t="s">
        <v>29</v>
      </c>
      <c r="AK3" s="3" t="s">
        <v>29</v>
      </c>
      <c r="AL3" s="2"/>
      <c r="AM3" s="2"/>
      <c r="AN3" s="2"/>
      <c r="AO3" s="2"/>
      <c r="AP3" s="2"/>
    </row>
    <row r="4" customFormat="false" ht="15" hidden="false" customHeight="false" outlineLevel="0" collapsed="false">
      <c r="A4" s="4" t="n">
        <v>1</v>
      </c>
      <c r="B4" s="5"/>
      <c r="C4" s="4" t="s">
        <v>36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 t="str">
        <f aca="false">IF($B4="","",COUNTA(E4:AK4))</f>
        <v/>
      </c>
      <c r="AM4" s="4" t="str">
        <f aca="false">IF($B4="","",COUNTIF(E4:AK4,"صح"))</f>
        <v/>
      </c>
      <c r="AN4" s="4" t="str">
        <f aca="false">IF($B4="","",COUNTIF(E4:AK4,"خطأ"))</f>
        <v/>
      </c>
      <c r="AO4" s="4" t="str">
        <f aca="false">IF($B4="","",33-AL4)</f>
        <v/>
      </c>
      <c r="AP4" s="4" t="str">
        <f aca="false">IF($B4="","",IF(AL4=0,"لم يحل",IF(AO4=0,"حلّ كاملاً","حلّ جزئياً")))</f>
        <v/>
      </c>
    </row>
    <row r="5" customFormat="false" ht="15" hidden="false" customHeight="false" outlineLevel="0" collapsed="false">
      <c r="A5" s="4" t="n">
        <v>2</v>
      </c>
      <c r="B5" s="5"/>
      <c r="C5" s="4" t="s">
        <v>36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 t="str">
        <f aca="false">IF($B5="","",COUNTA(E5:AK5))</f>
        <v/>
      </c>
      <c r="AM5" s="4" t="str">
        <f aca="false">IF($B5="","",COUNTIF(E5:AK5,"صح"))</f>
        <v/>
      </c>
      <c r="AN5" s="4" t="str">
        <f aca="false">IF($B5="","",COUNTIF(E5:AK5,"خطأ"))</f>
        <v/>
      </c>
      <c r="AO5" s="4" t="str">
        <f aca="false">IF($B5="","",33-AL5)</f>
        <v/>
      </c>
      <c r="AP5" s="4" t="str">
        <f aca="false">IF($B5="","",IF(AL5=0,"لم يحل",IF(AO5=0,"حلّ كاملاً","حلّ جزئياً")))</f>
        <v/>
      </c>
    </row>
    <row r="6" customFormat="false" ht="15" hidden="false" customHeight="false" outlineLevel="0" collapsed="false">
      <c r="A6" s="4" t="n">
        <v>3</v>
      </c>
      <c r="B6" s="5"/>
      <c r="C6" s="4" t="s">
        <v>36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 t="str">
        <f aca="false">IF($B6="","",COUNTA(E6:AK6))</f>
        <v/>
      </c>
      <c r="AM6" s="4" t="str">
        <f aca="false">IF($B6="","",COUNTIF(E6:AK6,"صح"))</f>
        <v/>
      </c>
      <c r="AN6" s="4" t="str">
        <f aca="false">IF($B6="","",COUNTIF(E6:AK6,"خطأ"))</f>
        <v/>
      </c>
      <c r="AO6" s="4" t="str">
        <f aca="false">IF($B6="","",33-AL6)</f>
        <v/>
      </c>
      <c r="AP6" s="4" t="str">
        <f aca="false">IF($B6="","",IF(AL6=0,"لم يحل",IF(AO6=0,"حلّ كاملاً","حلّ جزئياً")))</f>
        <v/>
      </c>
    </row>
    <row r="7" customFormat="false" ht="15" hidden="false" customHeight="false" outlineLevel="0" collapsed="false">
      <c r="A7" s="4" t="n">
        <v>4</v>
      </c>
      <c r="B7" s="5"/>
      <c r="C7" s="4" t="s">
        <v>36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 t="str">
        <f aca="false">IF($B7="","",COUNTA(E7:AK7))</f>
        <v/>
      </c>
      <c r="AM7" s="4" t="str">
        <f aca="false">IF($B7="","",COUNTIF(E7:AK7,"صح"))</f>
        <v/>
      </c>
      <c r="AN7" s="4" t="str">
        <f aca="false">IF($B7="","",COUNTIF(E7:AK7,"خطأ"))</f>
        <v/>
      </c>
      <c r="AO7" s="4" t="str">
        <f aca="false">IF($B7="","",33-AL7)</f>
        <v/>
      </c>
      <c r="AP7" s="4" t="str">
        <f aca="false">IF($B7="","",IF(AL7=0,"لم يحل",IF(AO7=0,"حلّ كاملاً","حلّ جزئياً")))</f>
        <v/>
      </c>
    </row>
    <row r="8" customFormat="false" ht="15" hidden="false" customHeight="false" outlineLevel="0" collapsed="false">
      <c r="A8" s="4" t="n">
        <v>5</v>
      </c>
      <c r="B8" s="5"/>
      <c r="C8" s="4" t="s">
        <v>36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 t="str">
        <f aca="false">IF($B8="","",COUNTA(E8:AK8))</f>
        <v/>
      </c>
      <c r="AM8" s="4" t="str">
        <f aca="false">IF($B8="","",COUNTIF(E8:AK8,"صح"))</f>
        <v/>
      </c>
      <c r="AN8" s="4" t="str">
        <f aca="false">IF($B8="","",COUNTIF(E8:AK8,"خطأ"))</f>
        <v/>
      </c>
      <c r="AO8" s="4" t="str">
        <f aca="false">IF($B8="","",33-AL8)</f>
        <v/>
      </c>
      <c r="AP8" s="4" t="str">
        <f aca="false">IF($B8="","",IF(AL8=0,"لم يحل",IF(AO8=0,"حلّ كاملاً","حلّ جزئياً")))</f>
        <v/>
      </c>
    </row>
    <row r="9" customFormat="false" ht="15" hidden="false" customHeight="false" outlineLevel="0" collapsed="false">
      <c r="A9" s="4" t="n">
        <v>6</v>
      </c>
      <c r="B9" s="5"/>
      <c r="C9" s="4" t="s">
        <v>36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 t="str">
        <f aca="false">IF($B9="","",COUNTA(E9:AK9))</f>
        <v/>
      </c>
      <c r="AM9" s="4" t="str">
        <f aca="false">IF($B9="","",COUNTIF(E9:AK9,"صح"))</f>
        <v/>
      </c>
      <c r="AN9" s="4" t="str">
        <f aca="false">IF($B9="","",COUNTIF(E9:AK9,"خطأ"))</f>
        <v/>
      </c>
      <c r="AO9" s="4" t="str">
        <f aca="false">IF($B9="","",33-AL9)</f>
        <v/>
      </c>
      <c r="AP9" s="4" t="str">
        <f aca="false">IF($B9="","",IF(AL9=0,"لم يحل",IF(AO9=0,"حلّ كاملاً","حلّ جزئياً")))</f>
        <v/>
      </c>
    </row>
    <row r="10" customFormat="false" ht="15" hidden="false" customHeight="false" outlineLevel="0" collapsed="false">
      <c r="A10" s="4" t="n">
        <v>7</v>
      </c>
      <c r="B10" s="5"/>
      <c r="C10" s="4" t="s">
        <v>36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 t="str">
        <f aca="false">IF($B10="","",COUNTA(E10:AK10))</f>
        <v/>
      </c>
      <c r="AM10" s="4" t="str">
        <f aca="false">IF($B10="","",COUNTIF(E10:AK10,"صح"))</f>
        <v/>
      </c>
      <c r="AN10" s="4" t="str">
        <f aca="false">IF($B10="","",COUNTIF(E10:AK10,"خطأ"))</f>
        <v/>
      </c>
      <c r="AO10" s="4" t="str">
        <f aca="false">IF($B10="","",33-AL10)</f>
        <v/>
      </c>
      <c r="AP10" s="4" t="str">
        <f aca="false">IF($B10="","",IF(AL10=0,"لم يحل",IF(AO10=0,"حلّ كاملاً","حلّ جزئياً")))</f>
        <v/>
      </c>
    </row>
    <row r="11" customFormat="false" ht="15" hidden="false" customHeight="false" outlineLevel="0" collapsed="false">
      <c r="A11" s="4" t="n">
        <v>8</v>
      </c>
      <c r="B11" s="5"/>
      <c r="C11" s="4" t="s">
        <v>36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 t="str">
        <f aca="false">IF($B11="","",COUNTA(E11:AK11))</f>
        <v/>
      </c>
      <c r="AM11" s="4" t="str">
        <f aca="false">IF($B11="","",COUNTIF(E11:AK11,"صح"))</f>
        <v/>
      </c>
      <c r="AN11" s="4" t="str">
        <f aca="false">IF($B11="","",COUNTIF(E11:AK11,"خطأ"))</f>
        <v/>
      </c>
      <c r="AO11" s="4" t="str">
        <f aca="false">IF($B11="","",33-AL11)</f>
        <v/>
      </c>
      <c r="AP11" s="4" t="str">
        <f aca="false">IF($B11="","",IF(AL11=0,"لم يحل",IF(AO11=0,"حلّ كاملاً","حلّ جزئياً")))</f>
        <v/>
      </c>
    </row>
    <row r="12" customFormat="false" ht="15" hidden="false" customHeight="false" outlineLevel="0" collapsed="false">
      <c r="A12" s="4" t="n">
        <v>9</v>
      </c>
      <c r="B12" s="5"/>
      <c r="C12" s="4" t="s">
        <v>36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 t="str">
        <f aca="false">IF($B12="","",COUNTA(E12:AK12))</f>
        <v/>
      </c>
      <c r="AM12" s="4" t="str">
        <f aca="false">IF($B12="","",COUNTIF(E12:AK12,"صح"))</f>
        <v/>
      </c>
      <c r="AN12" s="4" t="str">
        <f aca="false">IF($B12="","",COUNTIF(E12:AK12,"خطأ"))</f>
        <v/>
      </c>
      <c r="AO12" s="4" t="str">
        <f aca="false">IF($B12="","",33-AL12)</f>
        <v/>
      </c>
      <c r="AP12" s="4" t="str">
        <f aca="false">IF($B12="","",IF(AL12=0,"لم يحل",IF(AO12=0,"حلّ كاملاً","حلّ جزئياً")))</f>
        <v/>
      </c>
    </row>
    <row r="13" customFormat="false" ht="15" hidden="false" customHeight="false" outlineLevel="0" collapsed="false">
      <c r="A13" s="4" t="n">
        <v>10</v>
      </c>
      <c r="B13" s="5"/>
      <c r="C13" s="4" t="s">
        <v>36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 t="str">
        <f aca="false">IF($B13="","",COUNTA(E13:AK13))</f>
        <v/>
      </c>
      <c r="AM13" s="4" t="str">
        <f aca="false">IF($B13="","",COUNTIF(E13:AK13,"صح"))</f>
        <v/>
      </c>
      <c r="AN13" s="4" t="str">
        <f aca="false">IF($B13="","",COUNTIF(E13:AK13,"خطأ"))</f>
        <v/>
      </c>
      <c r="AO13" s="4" t="str">
        <f aca="false">IF($B13="","",33-AL13)</f>
        <v/>
      </c>
      <c r="AP13" s="4" t="str">
        <f aca="false">IF($B13="","",IF(AL13=0,"لم يحل",IF(AO13=0,"حلّ كاملاً","حلّ جزئياً")))</f>
        <v/>
      </c>
    </row>
    <row r="14" customFormat="false" ht="15" hidden="false" customHeight="false" outlineLevel="0" collapsed="false">
      <c r="A14" s="4" t="n">
        <v>11</v>
      </c>
      <c r="B14" s="5"/>
      <c r="C14" s="4" t="s">
        <v>36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 t="str">
        <f aca="false">IF($B14="","",COUNTA(E14:AK14))</f>
        <v/>
      </c>
      <c r="AM14" s="4" t="str">
        <f aca="false">IF($B14="","",COUNTIF(E14:AK14,"صح"))</f>
        <v/>
      </c>
      <c r="AN14" s="4" t="str">
        <f aca="false">IF($B14="","",COUNTIF(E14:AK14,"خطأ"))</f>
        <v/>
      </c>
      <c r="AO14" s="4" t="str">
        <f aca="false">IF($B14="","",33-AL14)</f>
        <v/>
      </c>
      <c r="AP14" s="4" t="str">
        <f aca="false">IF($B14="","",IF(AL14=0,"لم يحل",IF(AO14=0,"حلّ كاملاً","حلّ جزئياً")))</f>
        <v/>
      </c>
    </row>
    <row r="15" customFormat="false" ht="15" hidden="false" customHeight="false" outlineLevel="0" collapsed="false">
      <c r="A15" s="4" t="n">
        <v>12</v>
      </c>
      <c r="B15" s="5"/>
      <c r="C15" s="4" t="s">
        <v>36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 t="str">
        <f aca="false">IF($B15="","",COUNTA(E15:AK15))</f>
        <v/>
      </c>
      <c r="AM15" s="4" t="str">
        <f aca="false">IF($B15="","",COUNTIF(E15:AK15,"صح"))</f>
        <v/>
      </c>
      <c r="AN15" s="4" t="str">
        <f aca="false">IF($B15="","",COUNTIF(E15:AK15,"خطأ"))</f>
        <v/>
      </c>
      <c r="AO15" s="4" t="str">
        <f aca="false">IF($B15="","",33-AL15)</f>
        <v/>
      </c>
      <c r="AP15" s="4" t="str">
        <f aca="false">IF($B15="","",IF(AL15=0,"لم يحل",IF(AO15=0,"حلّ كاملاً","حلّ جزئياً")))</f>
        <v/>
      </c>
    </row>
    <row r="16" customFormat="false" ht="15" hidden="false" customHeight="false" outlineLevel="0" collapsed="false">
      <c r="A16" s="4" t="n">
        <v>13</v>
      </c>
      <c r="B16" s="5"/>
      <c r="C16" s="4" t="s">
        <v>36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 t="str">
        <f aca="false">IF($B16="","",COUNTA(E16:AK16))</f>
        <v/>
      </c>
      <c r="AM16" s="4" t="str">
        <f aca="false">IF($B16="","",COUNTIF(E16:AK16,"صح"))</f>
        <v/>
      </c>
      <c r="AN16" s="4" t="str">
        <f aca="false">IF($B16="","",COUNTIF(E16:AK16,"خطأ"))</f>
        <v/>
      </c>
      <c r="AO16" s="4" t="str">
        <f aca="false">IF($B16="","",33-AL16)</f>
        <v/>
      </c>
      <c r="AP16" s="4" t="str">
        <f aca="false">IF($B16="","",IF(AL16=0,"لم يحل",IF(AO16=0,"حلّ كاملاً","حلّ جزئياً")))</f>
        <v/>
      </c>
    </row>
    <row r="17" customFormat="false" ht="15" hidden="false" customHeight="false" outlineLevel="0" collapsed="false">
      <c r="A17" s="4" t="n">
        <v>14</v>
      </c>
      <c r="B17" s="5"/>
      <c r="C17" s="4" t="s">
        <v>36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 t="str">
        <f aca="false">IF($B17="","",COUNTA(E17:AK17))</f>
        <v/>
      </c>
      <c r="AM17" s="4" t="str">
        <f aca="false">IF($B17="","",COUNTIF(E17:AK17,"صح"))</f>
        <v/>
      </c>
      <c r="AN17" s="4" t="str">
        <f aca="false">IF($B17="","",COUNTIF(E17:AK17,"خطأ"))</f>
        <v/>
      </c>
      <c r="AO17" s="4" t="str">
        <f aca="false">IF($B17="","",33-AL17)</f>
        <v/>
      </c>
      <c r="AP17" s="4" t="str">
        <f aca="false">IF($B17="","",IF(AL17=0,"لم يحل",IF(AO17=0,"حلّ كاملاً","حلّ جزئياً")))</f>
        <v/>
      </c>
    </row>
    <row r="18" customFormat="false" ht="15" hidden="false" customHeight="false" outlineLevel="0" collapsed="false">
      <c r="A18" s="4" t="n">
        <v>15</v>
      </c>
      <c r="B18" s="5"/>
      <c r="C18" s="4" t="s">
        <v>36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 t="str">
        <f aca="false">IF($B18="","",COUNTA(E18:AK18))</f>
        <v/>
      </c>
      <c r="AM18" s="4" t="str">
        <f aca="false">IF($B18="","",COUNTIF(E18:AK18,"صح"))</f>
        <v/>
      </c>
      <c r="AN18" s="4" t="str">
        <f aca="false">IF($B18="","",COUNTIF(E18:AK18,"خطأ"))</f>
        <v/>
      </c>
      <c r="AO18" s="4" t="str">
        <f aca="false">IF($B18="","",33-AL18)</f>
        <v/>
      </c>
      <c r="AP18" s="4" t="str">
        <f aca="false">IF($B18="","",IF(AL18=0,"لم يحل",IF(AO18=0,"حلّ كاملاً","حلّ جزئياً")))</f>
        <v/>
      </c>
    </row>
    <row r="19" customFormat="false" ht="15" hidden="false" customHeight="false" outlineLevel="0" collapsed="false">
      <c r="A19" s="4" t="n">
        <v>16</v>
      </c>
      <c r="B19" s="5"/>
      <c r="C19" s="4" t="s">
        <v>36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 t="str">
        <f aca="false">IF($B19="","",COUNTA(E19:AK19))</f>
        <v/>
      </c>
      <c r="AM19" s="4" t="str">
        <f aca="false">IF($B19="","",COUNTIF(E19:AK19,"صح"))</f>
        <v/>
      </c>
      <c r="AN19" s="4" t="str">
        <f aca="false">IF($B19="","",COUNTIF(E19:AK19,"خطأ"))</f>
        <v/>
      </c>
      <c r="AO19" s="4" t="str">
        <f aca="false">IF($B19="","",33-AL19)</f>
        <v/>
      </c>
      <c r="AP19" s="4" t="str">
        <f aca="false">IF($B19="","",IF(AL19=0,"لم يحل",IF(AO19=0,"حلّ كاملاً","حلّ جزئياً")))</f>
        <v/>
      </c>
    </row>
    <row r="20" customFormat="false" ht="15" hidden="false" customHeight="false" outlineLevel="0" collapsed="false">
      <c r="A20" s="4" t="n">
        <v>17</v>
      </c>
      <c r="B20" s="5"/>
      <c r="C20" s="4" t="s">
        <v>36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 t="str">
        <f aca="false">IF($B20="","",COUNTA(E20:AK20))</f>
        <v/>
      </c>
      <c r="AM20" s="4" t="str">
        <f aca="false">IF($B20="","",COUNTIF(E20:AK20,"صح"))</f>
        <v/>
      </c>
      <c r="AN20" s="4" t="str">
        <f aca="false">IF($B20="","",COUNTIF(E20:AK20,"خطأ"))</f>
        <v/>
      </c>
      <c r="AO20" s="4" t="str">
        <f aca="false">IF($B20="","",33-AL20)</f>
        <v/>
      </c>
      <c r="AP20" s="4" t="str">
        <f aca="false">IF($B20="","",IF(AL20=0,"لم يحل",IF(AO20=0,"حلّ كاملاً","حلّ جزئياً")))</f>
        <v/>
      </c>
    </row>
    <row r="21" customFormat="false" ht="15" hidden="false" customHeight="false" outlineLevel="0" collapsed="false">
      <c r="A21" s="4" t="n">
        <v>18</v>
      </c>
      <c r="B21" s="5"/>
      <c r="C21" s="4" t="s">
        <v>36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 t="str">
        <f aca="false">IF($B21="","",COUNTA(E21:AK21))</f>
        <v/>
      </c>
      <c r="AM21" s="4" t="str">
        <f aca="false">IF($B21="","",COUNTIF(E21:AK21,"صح"))</f>
        <v/>
      </c>
      <c r="AN21" s="4" t="str">
        <f aca="false">IF($B21="","",COUNTIF(E21:AK21,"خطأ"))</f>
        <v/>
      </c>
      <c r="AO21" s="4" t="str">
        <f aca="false">IF($B21="","",33-AL21)</f>
        <v/>
      </c>
      <c r="AP21" s="4" t="str">
        <f aca="false">IF($B21="","",IF(AL21=0,"لم يحل",IF(AO21=0,"حلّ كاملاً","حلّ جزئياً")))</f>
        <v/>
      </c>
    </row>
    <row r="22" customFormat="false" ht="15" hidden="false" customHeight="false" outlineLevel="0" collapsed="false">
      <c r="A22" s="4" t="n">
        <v>19</v>
      </c>
      <c r="B22" s="5"/>
      <c r="C22" s="4" t="s">
        <v>36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 t="str">
        <f aca="false">IF($B22="","",COUNTA(E22:AK22))</f>
        <v/>
      </c>
      <c r="AM22" s="4" t="str">
        <f aca="false">IF($B22="","",COUNTIF(E22:AK22,"صح"))</f>
        <v/>
      </c>
      <c r="AN22" s="4" t="str">
        <f aca="false">IF($B22="","",COUNTIF(E22:AK22,"خطأ"))</f>
        <v/>
      </c>
      <c r="AO22" s="4" t="str">
        <f aca="false">IF($B22="","",33-AL22)</f>
        <v/>
      </c>
      <c r="AP22" s="4" t="str">
        <f aca="false">IF($B22="","",IF(AL22=0,"لم يحل",IF(AO22=0,"حلّ كاملاً","حلّ جزئياً")))</f>
        <v/>
      </c>
    </row>
    <row r="23" customFormat="false" ht="15" hidden="false" customHeight="false" outlineLevel="0" collapsed="false">
      <c r="A23" s="4" t="n">
        <v>20</v>
      </c>
      <c r="B23" s="5"/>
      <c r="C23" s="4" t="s">
        <v>36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 t="str">
        <f aca="false">IF($B23="","",COUNTA(E23:AK23))</f>
        <v/>
      </c>
      <c r="AM23" s="4" t="str">
        <f aca="false">IF($B23="","",COUNTIF(E23:AK23,"صح"))</f>
        <v/>
      </c>
      <c r="AN23" s="4" t="str">
        <f aca="false">IF($B23="","",COUNTIF(E23:AK23,"خطأ"))</f>
        <v/>
      </c>
      <c r="AO23" s="4" t="str">
        <f aca="false">IF($B23="","",33-AL23)</f>
        <v/>
      </c>
      <c r="AP23" s="4" t="str">
        <f aca="false">IF($B23="","",IF(AL23=0,"لم يحل",IF(AO23=0,"حلّ كاملاً","حلّ جزئياً")))</f>
        <v/>
      </c>
    </row>
    <row r="24" customFormat="false" ht="15" hidden="false" customHeight="false" outlineLevel="0" collapsed="false">
      <c r="A24" s="4" t="n">
        <v>21</v>
      </c>
      <c r="B24" s="5"/>
      <c r="C24" s="4" t="s">
        <v>36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 t="str">
        <f aca="false">IF($B24="","",COUNTA(E24:AK24))</f>
        <v/>
      </c>
      <c r="AM24" s="4" t="str">
        <f aca="false">IF($B24="","",COUNTIF(E24:AK24,"صح"))</f>
        <v/>
      </c>
      <c r="AN24" s="4" t="str">
        <f aca="false">IF($B24="","",COUNTIF(E24:AK24,"خطأ"))</f>
        <v/>
      </c>
      <c r="AO24" s="4" t="str">
        <f aca="false">IF($B24="","",33-AL24)</f>
        <v/>
      </c>
      <c r="AP24" s="4" t="str">
        <f aca="false">IF($B24="","",IF(AL24=0,"لم يحل",IF(AO24=0,"حلّ كاملاً","حلّ جزئياً")))</f>
        <v/>
      </c>
    </row>
    <row r="25" customFormat="false" ht="15" hidden="false" customHeight="false" outlineLevel="0" collapsed="false">
      <c r="A25" s="4" t="n">
        <v>22</v>
      </c>
      <c r="B25" s="5"/>
      <c r="C25" s="4" t="s">
        <v>36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 t="str">
        <f aca="false">IF($B25="","",COUNTA(E25:AK25))</f>
        <v/>
      </c>
      <c r="AM25" s="4" t="str">
        <f aca="false">IF($B25="","",COUNTIF(E25:AK25,"صح"))</f>
        <v/>
      </c>
      <c r="AN25" s="4" t="str">
        <f aca="false">IF($B25="","",COUNTIF(E25:AK25,"خطأ"))</f>
        <v/>
      </c>
      <c r="AO25" s="4" t="str">
        <f aca="false">IF($B25="","",33-AL25)</f>
        <v/>
      </c>
      <c r="AP25" s="4" t="str">
        <f aca="false">IF($B25="","",IF(AL25=0,"لم يحل",IF(AO25=0,"حلّ كاملاً","حلّ جزئياً")))</f>
        <v/>
      </c>
    </row>
    <row r="26" customFormat="false" ht="15" hidden="false" customHeight="false" outlineLevel="0" collapsed="false">
      <c r="A26" s="4" t="n">
        <v>23</v>
      </c>
      <c r="B26" s="5"/>
      <c r="C26" s="4" t="s">
        <v>36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 t="str">
        <f aca="false">IF($B26="","",COUNTA(E26:AK26))</f>
        <v/>
      </c>
      <c r="AM26" s="4" t="str">
        <f aca="false">IF($B26="","",COUNTIF(E26:AK26,"صح"))</f>
        <v/>
      </c>
      <c r="AN26" s="4" t="str">
        <f aca="false">IF($B26="","",COUNTIF(E26:AK26,"خطأ"))</f>
        <v/>
      </c>
      <c r="AO26" s="4" t="str">
        <f aca="false">IF($B26="","",33-AL26)</f>
        <v/>
      </c>
      <c r="AP26" s="4" t="str">
        <f aca="false">IF($B26="","",IF(AL26=0,"لم يحل",IF(AO26=0,"حلّ كاملاً","حلّ جزئياً")))</f>
        <v/>
      </c>
    </row>
    <row r="27" customFormat="false" ht="15" hidden="false" customHeight="false" outlineLevel="0" collapsed="false">
      <c r="A27" s="4" t="n">
        <v>24</v>
      </c>
      <c r="B27" s="5"/>
      <c r="C27" s="4" t="s">
        <v>36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 t="str">
        <f aca="false">IF($B27="","",COUNTA(E27:AK27))</f>
        <v/>
      </c>
      <c r="AM27" s="4" t="str">
        <f aca="false">IF($B27="","",COUNTIF(E27:AK27,"صح"))</f>
        <v/>
      </c>
      <c r="AN27" s="4" t="str">
        <f aca="false">IF($B27="","",COUNTIF(E27:AK27,"خطأ"))</f>
        <v/>
      </c>
      <c r="AO27" s="4" t="str">
        <f aca="false">IF($B27="","",33-AL27)</f>
        <v/>
      </c>
      <c r="AP27" s="4" t="str">
        <f aca="false">IF($B27="","",IF(AL27=0,"لم يحل",IF(AO27=0,"حلّ كاملاً","حلّ جزئياً")))</f>
        <v/>
      </c>
    </row>
    <row r="28" customFormat="false" ht="15" hidden="false" customHeight="false" outlineLevel="0" collapsed="false">
      <c r="A28" s="4" t="n">
        <v>25</v>
      </c>
      <c r="B28" s="5"/>
      <c r="C28" s="4" t="s">
        <v>36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 t="str">
        <f aca="false">IF($B28="","",COUNTA(E28:AK28))</f>
        <v/>
      </c>
      <c r="AM28" s="4" t="str">
        <f aca="false">IF($B28="","",COUNTIF(E28:AK28,"صح"))</f>
        <v/>
      </c>
      <c r="AN28" s="4" t="str">
        <f aca="false">IF($B28="","",COUNTIF(E28:AK28,"خطأ"))</f>
        <v/>
      </c>
      <c r="AO28" s="4" t="str">
        <f aca="false">IF($B28="","",33-AL28)</f>
        <v/>
      </c>
      <c r="AP28" s="4" t="str">
        <f aca="false">IF($B28="","",IF(AL28=0,"لم يحل",IF(AO28=0,"حلّ كاملاً","حلّ جزئياً")))</f>
        <v/>
      </c>
    </row>
    <row r="29" customFormat="false" ht="15" hidden="false" customHeight="false" outlineLevel="0" collapsed="false">
      <c r="A29" s="4" t="n">
        <v>26</v>
      </c>
      <c r="B29" s="5"/>
      <c r="C29" s="4" t="s">
        <v>36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 t="str">
        <f aca="false">IF($B29="","",COUNTA(E29:AK29))</f>
        <v/>
      </c>
      <c r="AM29" s="4" t="str">
        <f aca="false">IF($B29="","",COUNTIF(E29:AK29,"صح"))</f>
        <v/>
      </c>
      <c r="AN29" s="4" t="str">
        <f aca="false">IF($B29="","",COUNTIF(E29:AK29,"خطأ"))</f>
        <v/>
      </c>
      <c r="AO29" s="4" t="str">
        <f aca="false">IF($B29="","",33-AL29)</f>
        <v/>
      </c>
      <c r="AP29" s="4" t="str">
        <f aca="false">IF($B29="","",IF(AL29=0,"لم يحل",IF(AO29=0,"حلّ كاملاً","حلّ جزئياً")))</f>
        <v/>
      </c>
    </row>
    <row r="30" customFormat="false" ht="15" hidden="false" customHeight="false" outlineLevel="0" collapsed="false">
      <c r="A30" s="4" t="n">
        <v>27</v>
      </c>
      <c r="B30" s="5"/>
      <c r="C30" s="4" t="s">
        <v>36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 t="str">
        <f aca="false">IF($B30="","",COUNTA(E30:AK30))</f>
        <v/>
      </c>
      <c r="AM30" s="4" t="str">
        <f aca="false">IF($B30="","",COUNTIF(E30:AK30,"صح"))</f>
        <v/>
      </c>
      <c r="AN30" s="4" t="str">
        <f aca="false">IF($B30="","",COUNTIF(E30:AK30,"خطأ"))</f>
        <v/>
      </c>
      <c r="AO30" s="4" t="str">
        <f aca="false">IF($B30="","",33-AL30)</f>
        <v/>
      </c>
      <c r="AP30" s="4" t="str">
        <f aca="false">IF($B30="","",IF(AL30=0,"لم يحل",IF(AO30=0,"حلّ كاملاً","حلّ جزئياً")))</f>
        <v/>
      </c>
    </row>
    <row r="31" customFormat="false" ht="15" hidden="false" customHeight="false" outlineLevel="0" collapsed="false">
      <c r="A31" s="4" t="n">
        <v>28</v>
      </c>
      <c r="B31" s="5"/>
      <c r="C31" s="4" t="s">
        <v>36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 t="str">
        <f aca="false">IF($B31="","",COUNTA(E31:AK31))</f>
        <v/>
      </c>
      <c r="AM31" s="4" t="str">
        <f aca="false">IF($B31="","",COUNTIF(E31:AK31,"صح"))</f>
        <v/>
      </c>
      <c r="AN31" s="4" t="str">
        <f aca="false">IF($B31="","",COUNTIF(E31:AK31,"خطأ"))</f>
        <v/>
      </c>
      <c r="AO31" s="4" t="str">
        <f aca="false">IF($B31="","",33-AL31)</f>
        <v/>
      </c>
      <c r="AP31" s="4" t="str">
        <f aca="false">IF($B31="","",IF(AL31=0,"لم يحل",IF(AO31=0,"حلّ كاملاً","حلّ جزئياً")))</f>
        <v/>
      </c>
    </row>
    <row r="32" customFormat="false" ht="15" hidden="false" customHeight="false" outlineLevel="0" collapsed="false">
      <c r="A32" s="4" t="n">
        <v>29</v>
      </c>
      <c r="B32" s="5"/>
      <c r="C32" s="4" t="s">
        <v>36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 t="str">
        <f aca="false">IF($B32="","",COUNTA(E32:AK32))</f>
        <v/>
      </c>
      <c r="AM32" s="4" t="str">
        <f aca="false">IF($B32="","",COUNTIF(E32:AK32,"صح"))</f>
        <v/>
      </c>
      <c r="AN32" s="4" t="str">
        <f aca="false">IF($B32="","",COUNTIF(E32:AK32,"خطأ"))</f>
        <v/>
      </c>
      <c r="AO32" s="4" t="str">
        <f aca="false">IF($B32="","",33-AL32)</f>
        <v/>
      </c>
      <c r="AP32" s="4" t="str">
        <f aca="false">IF($B32="","",IF(AL32=0,"لم يحل",IF(AO32=0,"حلّ كاملاً","حلّ جزئياً")))</f>
        <v/>
      </c>
    </row>
    <row r="33" customFormat="false" ht="15" hidden="false" customHeight="false" outlineLevel="0" collapsed="false">
      <c r="A33" s="4" t="n">
        <v>30</v>
      </c>
      <c r="B33" s="5"/>
      <c r="C33" s="4" t="s">
        <v>36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 t="str">
        <f aca="false">IF($B33="","",COUNTA(E33:AK33))</f>
        <v/>
      </c>
      <c r="AM33" s="4" t="str">
        <f aca="false">IF($B33="","",COUNTIF(E33:AK33,"صح"))</f>
        <v/>
      </c>
      <c r="AN33" s="4" t="str">
        <f aca="false">IF($B33="","",COUNTIF(E33:AK33,"خطأ"))</f>
        <v/>
      </c>
      <c r="AO33" s="4" t="str">
        <f aca="false">IF($B33="","",33-AL33)</f>
        <v/>
      </c>
      <c r="AP33" s="4" t="str">
        <f aca="false">IF($B33="","",IF(AL33=0,"لم يحل",IF(AO33=0,"حلّ كاملاً","حلّ جزئياً")))</f>
        <v/>
      </c>
    </row>
    <row r="34" customFormat="false" ht="15" hidden="false" customHeight="false" outlineLevel="0" collapsed="false">
      <c r="A34" s="4" t="n">
        <v>31</v>
      </c>
      <c r="B34" s="5"/>
      <c r="C34" s="4" t="s">
        <v>36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 t="str">
        <f aca="false">IF($B34="","",COUNTA(E34:AK34))</f>
        <v/>
      </c>
      <c r="AM34" s="4" t="str">
        <f aca="false">IF($B34="","",COUNTIF(E34:AK34,"صح"))</f>
        <v/>
      </c>
      <c r="AN34" s="4" t="str">
        <f aca="false">IF($B34="","",COUNTIF(E34:AK34,"خطأ"))</f>
        <v/>
      </c>
      <c r="AO34" s="4" t="str">
        <f aca="false">IF($B34="","",33-AL34)</f>
        <v/>
      </c>
      <c r="AP34" s="4" t="str">
        <f aca="false">IF($B34="","",IF(AL34=0,"لم يحل",IF(AO34=0,"حلّ كاملاً","حلّ جزئياً")))</f>
        <v/>
      </c>
    </row>
    <row r="35" customFormat="false" ht="15" hidden="false" customHeight="false" outlineLevel="0" collapsed="false">
      <c r="A35" s="4" t="n">
        <v>32</v>
      </c>
      <c r="B35" s="5"/>
      <c r="C35" s="4" t="s">
        <v>36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 t="str">
        <f aca="false">IF($B35="","",COUNTA(E35:AK35))</f>
        <v/>
      </c>
      <c r="AM35" s="4" t="str">
        <f aca="false">IF($B35="","",COUNTIF(E35:AK35,"صح"))</f>
        <v/>
      </c>
      <c r="AN35" s="4" t="str">
        <f aca="false">IF($B35="","",COUNTIF(E35:AK35,"خطأ"))</f>
        <v/>
      </c>
      <c r="AO35" s="4" t="str">
        <f aca="false">IF($B35="","",33-AL35)</f>
        <v/>
      </c>
      <c r="AP35" s="4" t="str">
        <f aca="false">IF($B35="","",IF(AL35=0,"لم يحل",IF(AO35=0,"حلّ كاملاً","حلّ جزئياً")))</f>
        <v/>
      </c>
    </row>
    <row r="36" customFormat="false" ht="15" hidden="false" customHeight="false" outlineLevel="0" collapsed="false">
      <c r="A36" s="4" t="n">
        <v>33</v>
      </c>
      <c r="B36" s="5"/>
      <c r="C36" s="4" t="s">
        <v>36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 t="str">
        <f aca="false">IF($B36="","",COUNTA(E36:AK36))</f>
        <v/>
      </c>
      <c r="AM36" s="4" t="str">
        <f aca="false">IF($B36="","",COUNTIF(E36:AK36,"صح"))</f>
        <v/>
      </c>
      <c r="AN36" s="4" t="str">
        <f aca="false">IF($B36="","",COUNTIF(E36:AK36,"خطأ"))</f>
        <v/>
      </c>
      <c r="AO36" s="4" t="str">
        <f aca="false">IF($B36="","",33-AL36)</f>
        <v/>
      </c>
      <c r="AP36" s="4" t="str">
        <f aca="false">IF($B36="","",IF(AL36=0,"لم يحل",IF(AO36=0,"حلّ كاملاً","حلّ جزئياً")))</f>
        <v/>
      </c>
    </row>
    <row r="37" customFormat="false" ht="15" hidden="false" customHeight="false" outlineLevel="0" collapsed="false">
      <c r="A37" s="4" t="n">
        <v>34</v>
      </c>
      <c r="B37" s="5"/>
      <c r="C37" s="4" t="s">
        <v>36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 t="str">
        <f aca="false">IF($B37="","",COUNTA(E37:AK37))</f>
        <v/>
      </c>
      <c r="AM37" s="4" t="str">
        <f aca="false">IF($B37="","",COUNTIF(E37:AK37,"صح"))</f>
        <v/>
      </c>
      <c r="AN37" s="4" t="str">
        <f aca="false">IF($B37="","",COUNTIF(E37:AK37,"خطأ"))</f>
        <v/>
      </c>
      <c r="AO37" s="4" t="str">
        <f aca="false">IF($B37="","",33-AL37)</f>
        <v/>
      </c>
      <c r="AP37" s="4" t="str">
        <f aca="false">IF($B37="","",IF(AL37=0,"لم يحل",IF(AO37=0,"حلّ كاملاً","حلّ جزئياً")))</f>
        <v/>
      </c>
    </row>
    <row r="38" customFormat="false" ht="15" hidden="false" customHeight="false" outlineLevel="0" collapsed="false">
      <c r="A38" s="4" t="n">
        <v>35</v>
      </c>
      <c r="B38" s="5"/>
      <c r="C38" s="4" t="s">
        <v>36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 t="str">
        <f aca="false">IF($B38="","",COUNTA(E38:AK38))</f>
        <v/>
      </c>
      <c r="AM38" s="4" t="str">
        <f aca="false">IF($B38="","",COUNTIF(E38:AK38,"صح"))</f>
        <v/>
      </c>
      <c r="AN38" s="4" t="str">
        <f aca="false">IF($B38="","",COUNTIF(E38:AK38,"خطأ"))</f>
        <v/>
      </c>
      <c r="AO38" s="4" t="str">
        <f aca="false">IF($B38="","",33-AL38)</f>
        <v/>
      </c>
      <c r="AP38" s="4" t="str">
        <f aca="false">IF($B38="","",IF(AL38=0,"لم يحل",IF(AO38=0,"حلّ كاملاً","حلّ جزئياً")))</f>
        <v/>
      </c>
    </row>
    <row r="39" customFormat="false" ht="15" hidden="false" customHeight="false" outlineLevel="0" collapsed="false">
      <c r="A39" s="4" t="n">
        <v>36</v>
      </c>
      <c r="B39" s="5"/>
      <c r="C39" s="4" t="s">
        <v>36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 t="str">
        <f aca="false">IF($B39="","",COUNTA(E39:AK39))</f>
        <v/>
      </c>
      <c r="AM39" s="4" t="str">
        <f aca="false">IF($B39="","",COUNTIF(E39:AK39,"صح"))</f>
        <v/>
      </c>
      <c r="AN39" s="4" t="str">
        <f aca="false">IF($B39="","",COUNTIF(E39:AK39,"خطأ"))</f>
        <v/>
      </c>
      <c r="AO39" s="4" t="str">
        <f aca="false">IF($B39="","",33-AL39)</f>
        <v/>
      </c>
      <c r="AP39" s="4" t="str">
        <f aca="false">IF($B39="","",IF(AL39=0,"لم يحل",IF(AO39=0,"حلّ كاملاً","حلّ جزئياً")))</f>
        <v/>
      </c>
    </row>
    <row r="40" customFormat="false" ht="15" hidden="false" customHeight="false" outlineLevel="0" collapsed="false">
      <c r="A40" s="4" t="n">
        <v>37</v>
      </c>
      <c r="B40" s="5"/>
      <c r="C40" s="4" t="s">
        <v>36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 t="str">
        <f aca="false">IF($B40="","",COUNTA(E40:AK40))</f>
        <v/>
      </c>
      <c r="AM40" s="4" t="str">
        <f aca="false">IF($B40="","",COUNTIF(E40:AK40,"صح"))</f>
        <v/>
      </c>
      <c r="AN40" s="4" t="str">
        <f aca="false">IF($B40="","",COUNTIF(E40:AK40,"خطأ"))</f>
        <v/>
      </c>
      <c r="AO40" s="4" t="str">
        <f aca="false">IF($B40="","",33-AL40)</f>
        <v/>
      </c>
      <c r="AP40" s="4" t="str">
        <f aca="false">IF($B40="","",IF(AL40=0,"لم يحل",IF(AO40=0,"حلّ كاملاً","حلّ جزئياً")))</f>
        <v/>
      </c>
    </row>
    <row r="41" customFormat="false" ht="15" hidden="false" customHeight="false" outlineLevel="0" collapsed="false">
      <c r="A41" s="4" t="n">
        <v>38</v>
      </c>
      <c r="B41" s="5"/>
      <c r="C41" s="4" t="s">
        <v>36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 t="str">
        <f aca="false">IF($B41="","",COUNTA(E41:AK41))</f>
        <v/>
      </c>
      <c r="AM41" s="4" t="str">
        <f aca="false">IF($B41="","",COUNTIF(E41:AK41,"صح"))</f>
        <v/>
      </c>
      <c r="AN41" s="4" t="str">
        <f aca="false">IF($B41="","",COUNTIF(E41:AK41,"خطأ"))</f>
        <v/>
      </c>
      <c r="AO41" s="4" t="str">
        <f aca="false">IF($B41="","",33-AL41)</f>
        <v/>
      </c>
      <c r="AP41" s="4" t="str">
        <f aca="false">IF($B41="","",IF(AL41=0,"لم يحل",IF(AO41=0,"حلّ كاملاً","حلّ جزئياً")))</f>
        <v/>
      </c>
    </row>
    <row r="42" customFormat="false" ht="15" hidden="false" customHeight="false" outlineLevel="0" collapsed="false">
      <c r="A42" s="4" t="n">
        <v>39</v>
      </c>
      <c r="B42" s="5"/>
      <c r="C42" s="4" t="s">
        <v>36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 t="str">
        <f aca="false">IF($B42="","",COUNTA(E42:AK42))</f>
        <v/>
      </c>
      <c r="AM42" s="4" t="str">
        <f aca="false">IF($B42="","",COUNTIF(E42:AK42,"صح"))</f>
        <v/>
      </c>
      <c r="AN42" s="4" t="str">
        <f aca="false">IF($B42="","",COUNTIF(E42:AK42,"خطأ"))</f>
        <v/>
      </c>
      <c r="AO42" s="4" t="str">
        <f aca="false">IF($B42="","",33-AL42)</f>
        <v/>
      </c>
      <c r="AP42" s="4" t="str">
        <f aca="false">IF($B42="","",IF(AL42=0,"لم يحل",IF(AO42=0,"حلّ كاملاً","حلّ جزئياً")))</f>
        <v/>
      </c>
    </row>
    <row r="43" customFormat="false" ht="15" hidden="false" customHeight="false" outlineLevel="0" collapsed="false">
      <c r="A43" s="4" t="n">
        <v>40</v>
      </c>
      <c r="B43" s="5"/>
      <c r="C43" s="4" t="s">
        <v>36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 t="str">
        <f aca="false">IF($B43="","",COUNTA(E43:AK43))</f>
        <v/>
      </c>
      <c r="AM43" s="4" t="str">
        <f aca="false">IF($B43="","",COUNTIF(E43:AK43,"صح"))</f>
        <v/>
      </c>
      <c r="AN43" s="4" t="str">
        <f aca="false">IF($B43="","",COUNTIF(E43:AK43,"خطأ"))</f>
        <v/>
      </c>
      <c r="AO43" s="4" t="str">
        <f aca="false">IF($B43="","",33-AL43)</f>
        <v/>
      </c>
      <c r="AP43" s="4" t="str">
        <f aca="false">IF($B43="","",IF(AL43=0,"لم يحل",IF(AO43=0,"حلّ كاملاً","حلّ جزئياً")))</f>
        <v/>
      </c>
    </row>
    <row r="44" customFormat="false" ht="15" hidden="false" customHeight="false" outlineLevel="0" collapsed="false">
      <c r="A44" s="4" t="n">
        <v>41</v>
      </c>
      <c r="B44" s="5"/>
      <c r="C44" s="4" t="s">
        <v>36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 t="str">
        <f aca="false">IF($B44="","",COUNTA(E44:AK44))</f>
        <v/>
      </c>
      <c r="AM44" s="4" t="str">
        <f aca="false">IF($B44="","",COUNTIF(E44:AK44,"صح"))</f>
        <v/>
      </c>
      <c r="AN44" s="4" t="str">
        <f aca="false">IF($B44="","",COUNTIF(E44:AK44,"خطأ"))</f>
        <v/>
      </c>
      <c r="AO44" s="4" t="str">
        <f aca="false">IF($B44="","",33-AL44)</f>
        <v/>
      </c>
      <c r="AP44" s="4" t="str">
        <f aca="false">IF($B44="","",IF(AL44=0,"لم يحل",IF(AO44=0,"حلّ كاملاً","حلّ جزئياً")))</f>
        <v/>
      </c>
    </row>
    <row r="45" customFormat="false" ht="15" hidden="false" customHeight="false" outlineLevel="0" collapsed="false">
      <c r="A45" s="4" t="n">
        <v>42</v>
      </c>
      <c r="B45" s="5"/>
      <c r="C45" s="4" t="s">
        <v>36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 t="str">
        <f aca="false">IF($B45="","",COUNTA(E45:AK45))</f>
        <v/>
      </c>
      <c r="AM45" s="4" t="str">
        <f aca="false">IF($B45="","",COUNTIF(E45:AK45,"صح"))</f>
        <v/>
      </c>
      <c r="AN45" s="4" t="str">
        <f aca="false">IF($B45="","",COUNTIF(E45:AK45,"خطأ"))</f>
        <v/>
      </c>
      <c r="AO45" s="4" t="str">
        <f aca="false">IF($B45="","",33-AL45)</f>
        <v/>
      </c>
      <c r="AP45" s="4" t="str">
        <f aca="false">IF($B45="","",IF(AL45=0,"لم يحل",IF(AO45=0,"حلّ كاملاً","حلّ جزئياً")))</f>
        <v/>
      </c>
    </row>
    <row r="46" customFormat="false" ht="15" hidden="false" customHeight="false" outlineLevel="0" collapsed="false">
      <c r="A46" s="4" t="n">
        <v>43</v>
      </c>
      <c r="B46" s="5"/>
      <c r="C46" s="4" t="s">
        <v>36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 t="str">
        <f aca="false">IF($B46="","",COUNTA(E46:AK46))</f>
        <v/>
      </c>
      <c r="AM46" s="4" t="str">
        <f aca="false">IF($B46="","",COUNTIF(E46:AK46,"صح"))</f>
        <v/>
      </c>
      <c r="AN46" s="4" t="str">
        <f aca="false">IF($B46="","",COUNTIF(E46:AK46,"خطأ"))</f>
        <v/>
      </c>
      <c r="AO46" s="4" t="str">
        <f aca="false">IF($B46="","",33-AL46)</f>
        <v/>
      </c>
      <c r="AP46" s="4" t="str">
        <f aca="false">IF($B46="","",IF(AL46=0,"لم يحل",IF(AO46=0,"حلّ كاملاً","حلّ جزئياً")))</f>
        <v/>
      </c>
    </row>
    <row r="47" customFormat="false" ht="15" hidden="false" customHeight="false" outlineLevel="0" collapsed="false">
      <c r="A47" s="4" t="n">
        <v>44</v>
      </c>
      <c r="B47" s="5"/>
      <c r="C47" s="4" t="s">
        <v>36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 t="str">
        <f aca="false">IF($B47="","",COUNTA(E47:AK47))</f>
        <v/>
      </c>
      <c r="AM47" s="4" t="str">
        <f aca="false">IF($B47="","",COUNTIF(E47:AK47,"صح"))</f>
        <v/>
      </c>
      <c r="AN47" s="4" t="str">
        <f aca="false">IF($B47="","",COUNTIF(E47:AK47,"خطأ"))</f>
        <v/>
      </c>
      <c r="AO47" s="4" t="str">
        <f aca="false">IF($B47="","",33-AL47)</f>
        <v/>
      </c>
      <c r="AP47" s="4" t="str">
        <f aca="false">IF($B47="","",IF(AL47=0,"لم يحل",IF(AO47=0,"حلّ كاملاً","حلّ جزئياً")))</f>
        <v/>
      </c>
    </row>
    <row r="48" customFormat="false" ht="15" hidden="false" customHeight="false" outlineLevel="0" collapsed="false">
      <c r="A48" s="4" t="n">
        <v>45</v>
      </c>
      <c r="B48" s="5"/>
      <c r="C48" s="4" t="s">
        <v>36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 t="str">
        <f aca="false">IF($B48="","",COUNTA(E48:AK48))</f>
        <v/>
      </c>
      <c r="AM48" s="4" t="str">
        <f aca="false">IF($B48="","",COUNTIF(E48:AK48,"صح"))</f>
        <v/>
      </c>
      <c r="AN48" s="4" t="str">
        <f aca="false">IF($B48="","",COUNTIF(E48:AK48,"خطأ"))</f>
        <v/>
      </c>
      <c r="AO48" s="4" t="str">
        <f aca="false">IF($B48="","",33-AL48)</f>
        <v/>
      </c>
      <c r="AP48" s="4" t="str">
        <f aca="false">IF($B48="","",IF(AL48=0,"لم يحل",IF(AO48=0,"حلّ كاملاً","حلّ جزئياً")))</f>
        <v/>
      </c>
    </row>
    <row r="49" customFormat="false" ht="15" hidden="false" customHeight="false" outlineLevel="0" collapsed="false">
      <c r="A49" s="4" t="n">
        <v>46</v>
      </c>
      <c r="B49" s="5"/>
      <c r="C49" s="4" t="s">
        <v>36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 t="str">
        <f aca="false">IF($B49="","",COUNTA(E49:AK49))</f>
        <v/>
      </c>
      <c r="AM49" s="4" t="str">
        <f aca="false">IF($B49="","",COUNTIF(E49:AK49,"صح"))</f>
        <v/>
      </c>
      <c r="AN49" s="4" t="str">
        <f aca="false">IF($B49="","",COUNTIF(E49:AK49,"خطأ"))</f>
        <v/>
      </c>
      <c r="AO49" s="4" t="str">
        <f aca="false">IF($B49="","",33-AL49)</f>
        <v/>
      </c>
      <c r="AP49" s="4" t="str">
        <f aca="false">IF($B49="","",IF(AL49=0,"لم يحل",IF(AO49=0,"حلّ كاملاً","حلّ جزئياً")))</f>
        <v/>
      </c>
    </row>
    <row r="50" customFormat="false" ht="15" hidden="false" customHeight="false" outlineLevel="0" collapsed="false">
      <c r="A50" s="4" t="n">
        <v>47</v>
      </c>
      <c r="B50" s="5"/>
      <c r="C50" s="4" t="s">
        <v>36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 t="str">
        <f aca="false">IF($B50="","",COUNTA(E50:AK50))</f>
        <v/>
      </c>
      <c r="AM50" s="4" t="str">
        <f aca="false">IF($B50="","",COUNTIF(E50:AK50,"صح"))</f>
        <v/>
      </c>
      <c r="AN50" s="4" t="str">
        <f aca="false">IF($B50="","",COUNTIF(E50:AK50,"خطأ"))</f>
        <v/>
      </c>
      <c r="AO50" s="4" t="str">
        <f aca="false">IF($B50="","",33-AL50)</f>
        <v/>
      </c>
      <c r="AP50" s="4" t="str">
        <f aca="false">IF($B50="","",IF(AL50=0,"لم يحل",IF(AO50=0,"حلّ كاملاً","حلّ جزئياً")))</f>
        <v/>
      </c>
    </row>
    <row r="51" customFormat="false" ht="15" hidden="false" customHeight="false" outlineLevel="0" collapsed="false">
      <c r="A51" s="4" t="n">
        <v>48</v>
      </c>
      <c r="B51" s="5"/>
      <c r="C51" s="4" t="s">
        <v>36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 t="str">
        <f aca="false">IF($B51="","",COUNTA(E51:AK51))</f>
        <v/>
      </c>
      <c r="AM51" s="4" t="str">
        <f aca="false">IF($B51="","",COUNTIF(E51:AK51,"صح"))</f>
        <v/>
      </c>
      <c r="AN51" s="4" t="str">
        <f aca="false">IF($B51="","",COUNTIF(E51:AK51,"خطأ"))</f>
        <v/>
      </c>
      <c r="AO51" s="4" t="str">
        <f aca="false">IF($B51="","",33-AL51)</f>
        <v/>
      </c>
      <c r="AP51" s="4" t="str">
        <f aca="false">IF($B51="","",IF(AL51=0,"لم يحل",IF(AO51=0,"حلّ كاملاً","حلّ جزئياً")))</f>
        <v/>
      </c>
    </row>
    <row r="52" customFormat="false" ht="15" hidden="false" customHeight="false" outlineLevel="0" collapsed="false">
      <c r="A52" s="4" t="n">
        <v>49</v>
      </c>
      <c r="B52" s="5"/>
      <c r="C52" s="4" t="s">
        <v>36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 t="str">
        <f aca="false">IF($B52="","",COUNTA(E52:AK52))</f>
        <v/>
      </c>
      <c r="AM52" s="4" t="str">
        <f aca="false">IF($B52="","",COUNTIF(E52:AK52,"صح"))</f>
        <v/>
      </c>
      <c r="AN52" s="4" t="str">
        <f aca="false">IF($B52="","",COUNTIF(E52:AK52,"خطأ"))</f>
        <v/>
      </c>
      <c r="AO52" s="4" t="str">
        <f aca="false">IF($B52="","",33-AL52)</f>
        <v/>
      </c>
      <c r="AP52" s="4" t="str">
        <f aca="false">IF($B52="","",IF(AL52=0,"لم يحل",IF(AO52=0,"حلّ كاملاً","حلّ جزئياً")))</f>
        <v/>
      </c>
    </row>
    <row r="53" customFormat="false" ht="15" hidden="false" customHeight="false" outlineLevel="0" collapsed="false">
      <c r="A53" s="4" t="n">
        <v>50</v>
      </c>
      <c r="B53" s="5"/>
      <c r="C53" s="4" t="s">
        <v>36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 t="str">
        <f aca="false">IF($B53="","",COUNTA(E53:AK53))</f>
        <v/>
      </c>
      <c r="AM53" s="4" t="str">
        <f aca="false">IF($B53="","",COUNTIF(E53:AK53,"صح"))</f>
        <v/>
      </c>
      <c r="AN53" s="4" t="str">
        <f aca="false">IF($B53="","",COUNTIF(E53:AK53,"خطأ"))</f>
        <v/>
      </c>
      <c r="AO53" s="4" t="str">
        <f aca="false">IF($B53="","",33-AL53)</f>
        <v/>
      </c>
      <c r="AP53" s="4" t="str">
        <f aca="false">IF($B53="","",IF(AL53=0,"لم يحل",IF(AO53=0,"حلّ كاملاً","حلّ جزئياً")))</f>
        <v/>
      </c>
    </row>
    <row r="54" customFormat="false" ht="15" hidden="false" customHeight="false" outlineLevel="0" collapsed="false">
      <c r="A54" s="4" t="n">
        <v>51</v>
      </c>
      <c r="B54" s="5"/>
      <c r="C54" s="4" t="s">
        <v>36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 t="str">
        <f aca="false">IF($B54="","",COUNTA(E54:AK54))</f>
        <v/>
      </c>
      <c r="AM54" s="4" t="str">
        <f aca="false">IF($B54="","",COUNTIF(E54:AK54,"صح"))</f>
        <v/>
      </c>
      <c r="AN54" s="4" t="str">
        <f aca="false">IF($B54="","",COUNTIF(E54:AK54,"خطأ"))</f>
        <v/>
      </c>
      <c r="AO54" s="4" t="str">
        <f aca="false">IF($B54="","",33-AL54)</f>
        <v/>
      </c>
      <c r="AP54" s="4" t="str">
        <f aca="false">IF($B54="","",IF(AL54=0,"لم يحل",IF(AO54=0,"حلّ كاملاً","حلّ جزئياً")))</f>
        <v/>
      </c>
    </row>
    <row r="55" customFormat="false" ht="15" hidden="false" customHeight="false" outlineLevel="0" collapsed="false">
      <c r="A55" s="4" t="n">
        <v>52</v>
      </c>
      <c r="B55" s="5"/>
      <c r="C55" s="4" t="s">
        <v>36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 t="str">
        <f aca="false">IF($B55="","",COUNTA(E55:AK55))</f>
        <v/>
      </c>
      <c r="AM55" s="4" t="str">
        <f aca="false">IF($B55="","",COUNTIF(E55:AK55,"صح"))</f>
        <v/>
      </c>
      <c r="AN55" s="4" t="str">
        <f aca="false">IF($B55="","",COUNTIF(E55:AK55,"خطأ"))</f>
        <v/>
      </c>
      <c r="AO55" s="4" t="str">
        <f aca="false">IF($B55="","",33-AL55)</f>
        <v/>
      </c>
      <c r="AP55" s="4" t="str">
        <f aca="false">IF($B55="","",IF(AL55=0,"لم يحل",IF(AO55=0,"حلّ كاملاً","حلّ جزئياً")))</f>
        <v/>
      </c>
    </row>
    <row r="56" customFormat="false" ht="15" hidden="false" customHeight="false" outlineLevel="0" collapsed="false">
      <c r="A56" s="4" t="n">
        <v>53</v>
      </c>
      <c r="B56" s="5"/>
      <c r="C56" s="4" t="s">
        <v>36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 t="str">
        <f aca="false">IF($B56="","",COUNTA(E56:AK56))</f>
        <v/>
      </c>
      <c r="AM56" s="4" t="str">
        <f aca="false">IF($B56="","",COUNTIF(E56:AK56,"صح"))</f>
        <v/>
      </c>
      <c r="AN56" s="4" t="str">
        <f aca="false">IF($B56="","",COUNTIF(E56:AK56,"خطأ"))</f>
        <v/>
      </c>
      <c r="AO56" s="4" t="str">
        <f aca="false">IF($B56="","",33-AL56)</f>
        <v/>
      </c>
      <c r="AP56" s="4" t="str">
        <f aca="false">IF($B56="","",IF(AL56=0,"لم يحل",IF(AO56=0,"حلّ كاملاً","حلّ جزئياً")))</f>
        <v/>
      </c>
    </row>
    <row r="57" customFormat="false" ht="15" hidden="false" customHeight="false" outlineLevel="0" collapsed="false">
      <c r="A57" s="4" t="n">
        <v>54</v>
      </c>
      <c r="B57" s="5"/>
      <c r="C57" s="4" t="s">
        <v>36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 t="str">
        <f aca="false">IF($B57="","",COUNTA(E57:AK57))</f>
        <v/>
      </c>
      <c r="AM57" s="4" t="str">
        <f aca="false">IF($B57="","",COUNTIF(E57:AK57,"صح"))</f>
        <v/>
      </c>
      <c r="AN57" s="4" t="str">
        <f aca="false">IF($B57="","",COUNTIF(E57:AK57,"خطأ"))</f>
        <v/>
      </c>
      <c r="AO57" s="4" t="str">
        <f aca="false">IF($B57="","",33-AL57)</f>
        <v/>
      </c>
      <c r="AP57" s="4" t="str">
        <f aca="false">IF($B57="","",IF(AL57=0,"لم يحل",IF(AO57=0,"حلّ كاملاً","حلّ جزئياً")))</f>
        <v/>
      </c>
    </row>
    <row r="58" customFormat="false" ht="15" hidden="false" customHeight="false" outlineLevel="0" collapsed="false">
      <c r="A58" s="4" t="n">
        <v>55</v>
      </c>
      <c r="B58" s="5"/>
      <c r="C58" s="4" t="s">
        <v>36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 t="str">
        <f aca="false">IF($B58="","",COUNTA(E58:AK58))</f>
        <v/>
      </c>
      <c r="AM58" s="4" t="str">
        <f aca="false">IF($B58="","",COUNTIF(E58:AK58,"صح"))</f>
        <v/>
      </c>
      <c r="AN58" s="4" t="str">
        <f aca="false">IF($B58="","",COUNTIF(E58:AK58,"خطأ"))</f>
        <v/>
      </c>
      <c r="AO58" s="4" t="str">
        <f aca="false">IF($B58="","",33-AL58)</f>
        <v/>
      </c>
      <c r="AP58" s="4" t="str">
        <f aca="false">IF($B58="","",IF(AL58=0,"لم يحل",IF(AO58=0,"حلّ كاملاً","حلّ جزئياً")))</f>
        <v/>
      </c>
    </row>
    <row r="59" customFormat="false" ht="15" hidden="false" customHeight="false" outlineLevel="0" collapsed="false">
      <c r="A59" s="4" t="n">
        <v>56</v>
      </c>
      <c r="B59" s="5"/>
      <c r="C59" s="4" t="s">
        <v>36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 t="str">
        <f aca="false">IF($B59="","",COUNTA(E59:AK59))</f>
        <v/>
      </c>
      <c r="AM59" s="4" t="str">
        <f aca="false">IF($B59="","",COUNTIF(E59:AK59,"صح"))</f>
        <v/>
      </c>
      <c r="AN59" s="4" t="str">
        <f aca="false">IF($B59="","",COUNTIF(E59:AK59,"خطأ"))</f>
        <v/>
      </c>
      <c r="AO59" s="4" t="str">
        <f aca="false">IF($B59="","",33-AL59)</f>
        <v/>
      </c>
      <c r="AP59" s="4" t="str">
        <f aca="false">IF($B59="","",IF(AL59=0,"لم يحل",IF(AO59=0,"حلّ كاملاً","حلّ جزئياً")))</f>
        <v/>
      </c>
    </row>
    <row r="60" customFormat="false" ht="15" hidden="false" customHeight="false" outlineLevel="0" collapsed="false">
      <c r="A60" s="4" t="n">
        <v>57</v>
      </c>
      <c r="B60" s="5"/>
      <c r="C60" s="4" t="s">
        <v>36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 t="str">
        <f aca="false">IF($B60="","",COUNTA(E60:AK60))</f>
        <v/>
      </c>
      <c r="AM60" s="4" t="str">
        <f aca="false">IF($B60="","",COUNTIF(E60:AK60,"صح"))</f>
        <v/>
      </c>
      <c r="AN60" s="4" t="str">
        <f aca="false">IF($B60="","",COUNTIF(E60:AK60,"خطأ"))</f>
        <v/>
      </c>
      <c r="AO60" s="4" t="str">
        <f aca="false">IF($B60="","",33-AL60)</f>
        <v/>
      </c>
      <c r="AP60" s="4" t="str">
        <f aca="false">IF($B60="","",IF(AL60=0,"لم يحل",IF(AO60=0,"حلّ كاملاً","حلّ جزئياً")))</f>
        <v/>
      </c>
    </row>
    <row r="61" customFormat="false" ht="15" hidden="false" customHeight="false" outlineLevel="0" collapsed="false">
      <c r="A61" s="4" t="n">
        <v>58</v>
      </c>
      <c r="B61" s="5"/>
      <c r="C61" s="4" t="s">
        <v>36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 t="str">
        <f aca="false">IF($B61="","",COUNTA(E61:AK61))</f>
        <v/>
      </c>
      <c r="AM61" s="4" t="str">
        <f aca="false">IF($B61="","",COUNTIF(E61:AK61,"صح"))</f>
        <v/>
      </c>
      <c r="AN61" s="4" t="str">
        <f aca="false">IF($B61="","",COUNTIF(E61:AK61,"خطأ"))</f>
        <v/>
      </c>
      <c r="AO61" s="4" t="str">
        <f aca="false">IF($B61="","",33-AL61)</f>
        <v/>
      </c>
      <c r="AP61" s="4" t="str">
        <f aca="false">IF($B61="","",IF(AL61=0,"لم يحل",IF(AO61=0,"حلّ كاملاً","حلّ جزئياً")))</f>
        <v/>
      </c>
    </row>
    <row r="62" customFormat="false" ht="15" hidden="false" customHeight="false" outlineLevel="0" collapsed="false">
      <c r="A62" s="4" t="n">
        <v>59</v>
      </c>
      <c r="B62" s="5"/>
      <c r="C62" s="4" t="s">
        <v>36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 t="str">
        <f aca="false">IF($B62="","",COUNTA(E62:AK62))</f>
        <v/>
      </c>
      <c r="AM62" s="4" t="str">
        <f aca="false">IF($B62="","",COUNTIF(E62:AK62,"صح"))</f>
        <v/>
      </c>
      <c r="AN62" s="4" t="str">
        <f aca="false">IF($B62="","",COUNTIF(E62:AK62,"خطأ"))</f>
        <v/>
      </c>
      <c r="AO62" s="4" t="str">
        <f aca="false">IF($B62="","",33-AL62)</f>
        <v/>
      </c>
      <c r="AP62" s="4" t="str">
        <f aca="false">IF($B62="","",IF(AL62=0,"لم يحل",IF(AO62=0,"حلّ كاملاً","حلّ جزئياً")))</f>
        <v/>
      </c>
    </row>
    <row r="63" customFormat="false" ht="15" hidden="false" customHeight="false" outlineLevel="0" collapsed="false">
      <c r="A63" s="4" t="n">
        <v>60</v>
      </c>
      <c r="B63" s="5"/>
      <c r="C63" s="4" t="s">
        <v>36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 t="str">
        <f aca="false">IF($B63="","",COUNTA(E63:AK63))</f>
        <v/>
      </c>
      <c r="AM63" s="4" t="str">
        <f aca="false">IF($B63="","",COUNTIF(E63:AK63,"صح"))</f>
        <v/>
      </c>
      <c r="AN63" s="4" t="str">
        <f aca="false">IF($B63="","",COUNTIF(E63:AK63,"خطأ"))</f>
        <v/>
      </c>
      <c r="AO63" s="4" t="str">
        <f aca="false">IF($B63="","",33-AL63)</f>
        <v/>
      </c>
      <c r="AP63" s="4" t="str">
        <f aca="false">IF($B63="","",IF(AL63=0,"لم يحل",IF(AO63=0,"حلّ كاملاً","حلّ جزئياً")))</f>
        <v/>
      </c>
    </row>
    <row r="64" customFormat="false" ht="15" hidden="false" customHeight="false" outlineLevel="0" collapsed="false">
      <c r="A64" s="4" t="n">
        <v>61</v>
      </c>
      <c r="B64" s="5"/>
      <c r="C64" s="4" t="s">
        <v>36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 t="str">
        <f aca="false">IF($B64="","",COUNTA(E64:AK64))</f>
        <v/>
      </c>
      <c r="AM64" s="4" t="str">
        <f aca="false">IF($B64="","",COUNTIF(E64:AK64,"صح"))</f>
        <v/>
      </c>
      <c r="AN64" s="4" t="str">
        <f aca="false">IF($B64="","",COUNTIF(E64:AK64,"خطأ"))</f>
        <v/>
      </c>
      <c r="AO64" s="4" t="str">
        <f aca="false">IF($B64="","",33-AL64)</f>
        <v/>
      </c>
      <c r="AP64" s="4" t="str">
        <f aca="false">IF($B64="","",IF(AL64=0,"لم يحل",IF(AO64=0,"حلّ كاملاً","حلّ جزئياً")))</f>
        <v/>
      </c>
    </row>
    <row r="65" customFormat="false" ht="15" hidden="false" customHeight="false" outlineLevel="0" collapsed="false">
      <c r="A65" s="4" t="n">
        <v>62</v>
      </c>
      <c r="B65" s="5"/>
      <c r="C65" s="4" t="s">
        <v>36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 t="str">
        <f aca="false">IF($B65="","",COUNTA(E65:AK65))</f>
        <v/>
      </c>
      <c r="AM65" s="4" t="str">
        <f aca="false">IF($B65="","",COUNTIF(E65:AK65,"صح"))</f>
        <v/>
      </c>
      <c r="AN65" s="4" t="str">
        <f aca="false">IF($B65="","",COUNTIF(E65:AK65,"خطأ"))</f>
        <v/>
      </c>
      <c r="AO65" s="4" t="str">
        <f aca="false">IF($B65="","",33-AL65)</f>
        <v/>
      </c>
      <c r="AP65" s="4" t="str">
        <f aca="false">IF($B65="","",IF(AL65=0,"لم يحل",IF(AO65=0,"حلّ كاملاً","حلّ جزئياً")))</f>
        <v/>
      </c>
    </row>
    <row r="66" customFormat="false" ht="15" hidden="false" customHeight="false" outlineLevel="0" collapsed="false">
      <c r="A66" s="4" t="n">
        <v>63</v>
      </c>
      <c r="B66" s="5"/>
      <c r="C66" s="4" t="s">
        <v>36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 t="str">
        <f aca="false">IF($B66="","",COUNTA(E66:AK66))</f>
        <v/>
      </c>
      <c r="AM66" s="4" t="str">
        <f aca="false">IF($B66="","",COUNTIF(E66:AK66,"صح"))</f>
        <v/>
      </c>
      <c r="AN66" s="4" t="str">
        <f aca="false">IF($B66="","",COUNTIF(E66:AK66,"خطأ"))</f>
        <v/>
      </c>
      <c r="AO66" s="4" t="str">
        <f aca="false">IF($B66="","",33-AL66)</f>
        <v/>
      </c>
      <c r="AP66" s="4" t="str">
        <f aca="false">IF($B66="","",IF(AL66=0,"لم يحل",IF(AO66=0,"حلّ كاملاً","حلّ جزئياً")))</f>
        <v/>
      </c>
    </row>
    <row r="67" customFormat="false" ht="15" hidden="false" customHeight="false" outlineLevel="0" collapsed="false">
      <c r="A67" s="4" t="n">
        <v>64</v>
      </c>
      <c r="B67" s="5"/>
      <c r="C67" s="4" t="s">
        <v>36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 t="str">
        <f aca="false">IF($B67="","",COUNTA(E67:AK67))</f>
        <v/>
      </c>
      <c r="AM67" s="4" t="str">
        <f aca="false">IF($B67="","",COUNTIF(E67:AK67,"صح"))</f>
        <v/>
      </c>
      <c r="AN67" s="4" t="str">
        <f aca="false">IF($B67="","",COUNTIF(E67:AK67,"خطأ"))</f>
        <v/>
      </c>
      <c r="AO67" s="4" t="str">
        <f aca="false">IF($B67="","",33-AL67)</f>
        <v/>
      </c>
      <c r="AP67" s="4" t="str">
        <f aca="false">IF($B67="","",IF(AL67=0,"لم يحل",IF(AO67=0,"حلّ كاملاً","حلّ جزئياً")))</f>
        <v/>
      </c>
    </row>
    <row r="68" customFormat="false" ht="15" hidden="false" customHeight="false" outlineLevel="0" collapsed="false">
      <c r="A68" s="4" t="n">
        <v>65</v>
      </c>
      <c r="B68" s="5"/>
      <c r="C68" s="4" t="s">
        <v>36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 t="str">
        <f aca="false">IF($B68="","",COUNTA(E68:AK68))</f>
        <v/>
      </c>
      <c r="AM68" s="4" t="str">
        <f aca="false">IF($B68="","",COUNTIF(E68:AK68,"صح"))</f>
        <v/>
      </c>
      <c r="AN68" s="4" t="str">
        <f aca="false">IF($B68="","",COUNTIF(E68:AK68,"خطأ"))</f>
        <v/>
      </c>
      <c r="AO68" s="4" t="str">
        <f aca="false">IF($B68="","",33-AL68)</f>
        <v/>
      </c>
      <c r="AP68" s="4" t="str">
        <f aca="false">IF($B68="","",IF(AL68=0,"لم يحل",IF(AO68=0,"حلّ كاملاً","حلّ جزئياً")))</f>
        <v/>
      </c>
    </row>
    <row r="69" customFormat="false" ht="15" hidden="false" customHeight="false" outlineLevel="0" collapsed="false">
      <c r="A69" s="4" t="n">
        <v>66</v>
      </c>
      <c r="B69" s="5"/>
      <c r="C69" s="4" t="s">
        <v>36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 t="str">
        <f aca="false">IF($B69="","",COUNTA(E69:AK69))</f>
        <v/>
      </c>
      <c r="AM69" s="4" t="str">
        <f aca="false">IF($B69="","",COUNTIF(E69:AK69,"صح"))</f>
        <v/>
      </c>
      <c r="AN69" s="4" t="str">
        <f aca="false">IF($B69="","",COUNTIF(E69:AK69,"خطأ"))</f>
        <v/>
      </c>
      <c r="AO69" s="4" t="str">
        <f aca="false">IF($B69="","",33-AL69)</f>
        <v/>
      </c>
      <c r="AP69" s="4" t="str">
        <f aca="false">IF($B69="","",IF(AL69=0,"لم يحل",IF(AO69=0,"حلّ كاملاً","حلّ جزئياً")))</f>
        <v/>
      </c>
    </row>
    <row r="70" customFormat="false" ht="15" hidden="false" customHeight="false" outlineLevel="0" collapsed="false">
      <c r="A70" s="4" t="n">
        <v>67</v>
      </c>
      <c r="B70" s="5"/>
      <c r="C70" s="4" t="s">
        <v>36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 t="str">
        <f aca="false">IF($B70="","",COUNTA(E70:AK70))</f>
        <v/>
      </c>
      <c r="AM70" s="4" t="str">
        <f aca="false">IF($B70="","",COUNTIF(E70:AK70,"صح"))</f>
        <v/>
      </c>
      <c r="AN70" s="4" t="str">
        <f aca="false">IF($B70="","",COUNTIF(E70:AK70,"خطأ"))</f>
        <v/>
      </c>
      <c r="AO70" s="4" t="str">
        <f aca="false">IF($B70="","",33-AL70)</f>
        <v/>
      </c>
      <c r="AP70" s="4" t="str">
        <f aca="false">IF($B70="","",IF(AL70=0,"لم يحل",IF(AO70=0,"حلّ كاملاً","حلّ جزئياً")))</f>
        <v/>
      </c>
    </row>
    <row r="71" customFormat="false" ht="15" hidden="false" customHeight="false" outlineLevel="0" collapsed="false">
      <c r="A71" s="4" t="n">
        <v>68</v>
      </c>
      <c r="B71" s="5"/>
      <c r="C71" s="4" t="s">
        <v>36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 t="str">
        <f aca="false">IF($B71="","",COUNTA(E71:AK71))</f>
        <v/>
      </c>
      <c r="AM71" s="4" t="str">
        <f aca="false">IF($B71="","",COUNTIF(E71:AK71,"صح"))</f>
        <v/>
      </c>
      <c r="AN71" s="4" t="str">
        <f aca="false">IF($B71="","",COUNTIF(E71:AK71,"خطأ"))</f>
        <v/>
      </c>
      <c r="AO71" s="4" t="str">
        <f aca="false">IF($B71="","",33-AL71)</f>
        <v/>
      </c>
      <c r="AP71" s="4" t="str">
        <f aca="false">IF($B71="","",IF(AL71=0,"لم يحل",IF(AO71=0,"حلّ كاملاً","حلّ جزئياً")))</f>
        <v/>
      </c>
    </row>
    <row r="72" customFormat="false" ht="15" hidden="false" customHeight="false" outlineLevel="0" collapsed="false">
      <c r="A72" s="4" t="n">
        <v>69</v>
      </c>
      <c r="B72" s="5"/>
      <c r="C72" s="4" t="s">
        <v>36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 t="str">
        <f aca="false">IF($B72="","",COUNTA(E72:AK72))</f>
        <v/>
      </c>
      <c r="AM72" s="4" t="str">
        <f aca="false">IF($B72="","",COUNTIF(E72:AK72,"صح"))</f>
        <v/>
      </c>
      <c r="AN72" s="4" t="str">
        <f aca="false">IF($B72="","",COUNTIF(E72:AK72,"خطأ"))</f>
        <v/>
      </c>
      <c r="AO72" s="4" t="str">
        <f aca="false">IF($B72="","",33-AL72)</f>
        <v/>
      </c>
      <c r="AP72" s="4" t="str">
        <f aca="false">IF($B72="","",IF(AL72=0,"لم يحل",IF(AO72=0,"حلّ كاملاً","حلّ جزئياً")))</f>
        <v/>
      </c>
    </row>
    <row r="73" customFormat="false" ht="15" hidden="false" customHeight="false" outlineLevel="0" collapsed="false">
      <c r="A73" s="4" t="n">
        <v>70</v>
      </c>
      <c r="B73" s="5"/>
      <c r="C73" s="4" t="s">
        <v>36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 t="str">
        <f aca="false">IF($B73="","",COUNTA(E73:AK73))</f>
        <v/>
      </c>
      <c r="AM73" s="4" t="str">
        <f aca="false">IF($B73="","",COUNTIF(E73:AK73,"صح"))</f>
        <v/>
      </c>
      <c r="AN73" s="4" t="str">
        <f aca="false">IF($B73="","",COUNTIF(E73:AK73,"خطأ"))</f>
        <v/>
      </c>
      <c r="AO73" s="4" t="str">
        <f aca="false">IF($B73="","",33-AL73)</f>
        <v/>
      </c>
      <c r="AP73" s="4" t="str">
        <f aca="false">IF($B73="","",IF(AL73=0,"لم يحل",IF(AO73=0,"حلّ كاملاً","حلّ جزئياً")))</f>
        <v/>
      </c>
    </row>
    <row r="75" customFormat="false" ht="15" hidden="false" customHeight="false" outlineLevel="0" collapsed="false">
      <c r="B75" s="6" t="s">
        <v>37</v>
      </c>
    </row>
    <row r="76" customFormat="false" ht="15" hidden="false" customHeight="false" outlineLevel="0" collapsed="false">
      <c r="B76" s="7" t="s">
        <v>38</v>
      </c>
      <c r="E76" s="4" t="n">
        <f aca="false">COUNTIF(E4:E73,"صح")</f>
        <v>0</v>
      </c>
      <c r="F76" s="4" t="n">
        <f aca="false">COUNTIF(F4:F73,"صح")</f>
        <v>0</v>
      </c>
      <c r="G76" s="4" t="n">
        <f aca="false">COUNTIF(G4:G73,"صح")</f>
        <v>0</v>
      </c>
      <c r="H76" s="4" t="n">
        <f aca="false">COUNTIF(H4:H73,"صح")</f>
        <v>0</v>
      </c>
      <c r="I76" s="4" t="n">
        <f aca="false">COUNTIF(I4:I73,"صح")</f>
        <v>0</v>
      </c>
      <c r="J76" s="4" t="n">
        <f aca="false">COUNTIF(J4:J73,"صح")</f>
        <v>0</v>
      </c>
      <c r="K76" s="4" t="n">
        <f aca="false">COUNTIF(K4:K73,"صح")</f>
        <v>0</v>
      </c>
      <c r="L76" s="4" t="n">
        <f aca="false">COUNTIF(L4:L73,"صح")</f>
        <v>0</v>
      </c>
      <c r="M76" s="4" t="n">
        <f aca="false">COUNTIF(M4:M73,"صح")</f>
        <v>0</v>
      </c>
      <c r="N76" s="4" t="n">
        <f aca="false">COUNTIF(N4:N73,"صح")</f>
        <v>0</v>
      </c>
      <c r="O76" s="4" t="n">
        <f aca="false">COUNTIF(O4:O73,"صح")</f>
        <v>0</v>
      </c>
      <c r="P76" s="4" t="n">
        <f aca="false">COUNTIF(P4:P73,"صح")</f>
        <v>0</v>
      </c>
      <c r="Q76" s="4" t="n">
        <f aca="false">COUNTIF(Q4:Q73,"صح")</f>
        <v>0</v>
      </c>
      <c r="R76" s="4" t="n">
        <f aca="false">COUNTIF(R4:R73,"صح")</f>
        <v>0</v>
      </c>
      <c r="S76" s="4" t="n">
        <f aca="false">COUNTIF(S4:S73,"صح")</f>
        <v>0</v>
      </c>
      <c r="T76" s="4" t="n">
        <f aca="false">COUNTIF(T4:T73,"صح")</f>
        <v>0</v>
      </c>
      <c r="U76" s="4" t="n">
        <f aca="false">COUNTIF(U4:U73,"صح")</f>
        <v>0</v>
      </c>
      <c r="V76" s="4" t="n">
        <f aca="false">COUNTIF(V4:V73,"صح")</f>
        <v>0</v>
      </c>
      <c r="W76" s="4" t="n">
        <f aca="false">COUNTIF(W4:W73,"صح")</f>
        <v>0</v>
      </c>
      <c r="X76" s="4" t="n">
        <f aca="false">COUNTIF(X4:X73,"صح")</f>
        <v>0</v>
      </c>
      <c r="Y76" s="4" t="n">
        <f aca="false">COUNTIF(Y4:Y73,"صح")</f>
        <v>0</v>
      </c>
      <c r="Z76" s="4" t="n">
        <f aca="false">COUNTIF(Z4:Z73,"صح")</f>
        <v>0</v>
      </c>
      <c r="AA76" s="4" t="n">
        <f aca="false">COUNTIF(AA4:AA73,"صح")</f>
        <v>0</v>
      </c>
      <c r="AB76" s="4" t="n">
        <f aca="false">COUNTIF(AB4:AB73,"صح")</f>
        <v>0</v>
      </c>
      <c r="AC76" s="4" t="n">
        <f aca="false">COUNTIF(AC4:AC73,"صح")</f>
        <v>0</v>
      </c>
      <c r="AD76" s="4" t="n">
        <f aca="false">COUNTIF(AD4:AD73,"صح")</f>
        <v>0</v>
      </c>
      <c r="AE76" s="4" t="n">
        <f aca="false">COUNTIF(AE4:AE73,"صح")</f>
        <v>0</v>
      </c>
      <c r="AF76" s="4" t="n">
        <f aca="false">COUNTIF(AF4:AF73,"صح")</f>
        <v>0</v>
      </c>
      <c r="AG76" s="4" t="n">
        <f aca="false">COUNTIF(AG4:AG73,"صح")</f>
        <v>0</v>
      </c>
      <c r="AH76" s="4" t="n">
        <f aca="false">COUNTIF(AH4:AH73,"صح")</f>
        <v>0</v>
      </c>
      <c r="AI76" s="4" t="n">
        <f aca="false">COUNTIF(AI4:AI73,"صح")</f>
        <v>0</v>
      </c>
      <c r="AJ76" s="4" t="n">
        <f aca="false">COUNTIF(AJ4:AJ73,"صح")</f>
        <v>0</v>
      </c>
      <c r="AK76" s="4" t="n">
        <f aca="false">COUNTIF(AK4:AK73,"صح")</f>
        <v>0</v>
      </c>
    </row>
    <row r="77" customFormat="false" ht="15" hidden="false" customHeight="false" outlineLevel="0" collapsed="false">
      <c r="B77" s="7" t="s">
        <v>39</v>
      </c>
      <c r="E77" s="4" t="n">
        <f aca="false">COUNTIF(E4:E73,"خطأ")</f>
        <v>0</v>
      </c>
      <c r="F77" s="4" t="n">
        <f aca="false">COUNTIF(F4:F73,"خطأ")</f>
        <v>0</v>
      </c>
      <c r="G77" s="4" t="n">
        <f aca="false">COUNTIF(G4:G73,"خطأ")</f>
        <v>0</v>
      </c>
      <c r="H77" s="4" t="n">
        <f aca="false">COUNTIF(H4:H73,"خطأ")</f>
        <v>0</v>
      </c>
      <c r="I77" s="4" t="n">
        <f aca="false">COUNTIF(I4:I73,"خطأ")</f>
        <v>0</v>
      </c>
      <c r="J77" s="4" t="n">
        <f aca="false">COUNTIF(J4:J73,"خطأ")</f>
        <v>0</v>
      </c>
      <c r="K77" s="4" t="n">
        <f aca="false">COUNTIF(K4:K73,"خطأ")</f>
        <v>0</v>
      </c>
      <c r="L77" s="4" t="n">
        <f aca="false">COUNTIF(L4:L73,"خطأ")</f>
        <v>0</v>
      </c>
      <c r="M77" s="4" t="n">
        <f aca="false">COUNTIF(M4:M73,"خطأ")</f>
        <v>0</v>
      </c>
      <c r="N77" s="4" t="n">
        <f aca="false">COUNTIF(N4:N73,"خطأ")</f>
        <v>0</v>
      </c>
      <c r="O77" s="4" t="n">
        <f aca="false">COUNTIF(O4:O73,"خطأ")</f>
        <v>0</v>
      </c>
      <c r="P77" s="4" t="n">
        <f aca="false">COUNTIF(P4:P73,"خطأ")</f>
        <v>0</v>
      </c>
      <c r="Q77" s="4" t="n">
        <f aca="false">COUNTIF(Q4:Q73,"خطأ")</f>
        <v>0</v>
      </c>
      <c r="R77" s="4" t="n">
        <f aca="false">COUNTIF(R4:R73,"خطأ")</f>
        <v>0</v>
      </c>
      <c r="S77" s="4" t="n">
        <f aca="false">COUNTIF(S4:S73,"خطأ")</f>
        <v>0</v>
      </c>
      <c r="T77" s="4" t="n">
        <f aca="false">COUNTIF(T4:T73,"خطأ")</f>
        <v>0</v>
      </c>
      <c r="U77" s="4" t="n">
        <f aca="false">COUNTIF(U4:U73,"خطأ")</f>
        <v>0</v>
      </c>
      <c r="V77" s="4" t="n">
        <f aca="false">COUNTIF(V4:V73,"خطأ")</f>
        <v>0</v>
      </c>
      <c r="W77" s="4" t="n">
        <f aca="false">COUNTIF(W4:W73,"خطأ")</f>
        <v>0</v>
      </c>
      <c r="X77" s="4" t="n">
        <f aca="false">COUNTIF(X4:X73,"خطأ")</f>
        <v>0</v>
      </c>
      <c r="Y77" s="4" t="n">
        <f aca="false">COUNTIF(Y4:Y73,"خطأ")</f>
        <v>0</v>
      </c>
      <c r="Z77" s="4" t="n">
        <f aca="false">COUNTIF(Z4:Z73,"خطأ")</f>
        <v>0</v>
      </c>
      <c r="AA77" s="4" t="n">
        <f aca="false">COUNTIF(AA4:AA73,"خطأ")</f>
        <v>0</v>
      </c>
      <c r="AB77" s="4" t="n">
        <f aca="false">COUNTIF(AB4:AB73,"خطأ")</f>
        <v>0</v>
      </c>
      <c r="AC77" s="4" t="n">
        <f aca="false">COUNTIF(AC4:AC73,"خطأ")</f>
        <v>0</v>
      </c>
      <c r="AD77" s="4" t="n">
        <f aca="false">COUNTIF(AD4:AD73,"خطأ")</f>
        <v>0</v>
      </c>
      <c r="AE77" s="4" t="n">
        <f aca="false">COUNTIF(AE4:AE73,"خطأ")</f>
        <v>0</v>
      </c>
      <c r="AF77" s="4" t="n">
        <f aca="false">COUNTIF(AF4:AF73,"خطأ")</f>
        <v>0</v>
      </c>
      <c r="AG77" s="4" t="n">
        <f aca="false">COUNTIF(AG4:AG73,"خطأ")</f>
        <v>0</v>
      </c>
      <c r="AH77" s="4" t="n">
        <f aca="false">COUNTIF(AH4:AH73,"خطأ")</f>
        <v>0</v>
      </c>
      <c r="AI77" s="4" t="n">
        <f aca="false">COUNTIF(AI4:AI73,"خطأ")</f>
        <v>0</v>
      </c>
      <c r="AJ77" s="4" t="n">
        <f aca="false">COUNTIF(AJ4:AJ73,"خطأ")</f>
        <v>0</v>
      </c>
      <c r="AK77" s="4" t="n">
        <f aca="false">COUNTIF(AK4:AK73,"خطأ")</f>
        <v>0</v>
      </c>
    </row>
    <row r="78" customFormat="false" ht="15" hidden="false" customHeight="false" outlineLevel="0" collapsed="false">
      <c r="B78" s="7" t="s">
        <v>40</v>
      </c>
      <c r="E78" s="4" t="n">
        <f aca="false">SUMPRODUCT(($B$4:$B$73&lt;&gt;"")*(E4:E73=""))</f>
        <v>0</v>
      </c>
      <c r="F78" s="4" t="n">
        <f aca="false">SUMPRODUCT(($B$4:$B$73&lt;&gt;"")*(F4:F73=""))</f>
        <v>0</v>
      </c>
      <c r="G78" s="4" t="n">
        <f aca="false">SUMPRODUCT(($B$4:$B$73&lt;&gt;"")*(G4:G73=""))</f>
        <v>0</v>
      </c>
      <c r="H78" s="4" t="n">
        <f aca="false">SUMPRODUCT(($B$4:$B$73&lt;&gt;"")*(H4:H73=""))</f>
        <v>0</v>
      </c>
      <c r="I78" s="4" t="n">
        <f aca="false">SUMPRODUCT(($B$4:$B$73&lt;&gt;"")*(I4:I73=""))</f>
        <v>0</v>
      </c>
      <c r="J78" s="4" t="n">
        <f aca="false">SUMPRODUCT(($B$4:$B$73&lt;&gt;"")*(J4:J73=""))</f>
        <v>0</v>
      </c>
      <c r="K78" s="4" t="n">
        <f aca="false">SUMPRODUCT(($B$4:$B$73&lt;&gt;"")*(K4:K73=""))</f>
        <v>0</v>
      </c>
      <c r="L78" s="4" t="n">
        <f aca="false">SUMPRODUCT(($B$4:$B$73&lt;&gt;"")*(L4:L73=""))</f>
        <v>0</v>
      </c>
      <c r="M78" s="4" t="n">
        <f aca="false">SUMPRODUCT(($B$4:$B$73&lt;&gt;"")*(M4:M73=""))</f>
        <v>0</v>
      </c>
      <c r="N78" s="4" t="n">
        <f aca="false">SUMPRODUCT(($B$4:$B$73&lt;&gt;"")*(N4:N73=""))</f>
        <v>0</v>
      </c>
      <c r="O78" s="4" t="n">
        <f aca="false">SUMPRODUCT(($B$4:$B$73&lt;&gt;"")*(O4:O73=""))</f>
        <v>0</v>
      </c>
      <c r="P78" s="4" t="n">
        <f aca="false">SUMPRODUCT(($B$4:$B$73&lt;&gt;"")*(P4:P73=""))</f>
        <v>0</v>
      </c>
      <c r="Q78" s="4" t="n">
        <f aca="false">SUMPRODUCT(($B$4:$B$73&lt;&gt;"")*(Q4:Q73=""))</f>
        <v>0</v>
      </c>
      <c r="R78" s="4" t="n">
        <f aca="false">SUMPRODUCT(($B$4:$B$73&lt;&gt;"")*(R4:R73=""))</f>
        <v>0</v>
      </c>
      <c r="S78" s="4" t="n">
        <f aca="false">SUMPRODUCT(($B$4:$B$73&lt;&gt;"")*(S4:S73=""))</f>
        <v>0</v>
      </c>
      <c r="T78" s="4" t="n">
        <f aca="false">SUMPRODUCT(($B$4:$B$73&lt;&gt;"")*(T4:T73=""))</f>
        <v>0</v>
      </c>
      <c r="U78" s="4" t="n">
        <f aca="false">SUMPRODUCT(($B$4:$B$73&lt;&gt;"")*(U4:U73=""))</f>
        <v>0</v>
      </c>
      <c r="V78" s="4" t="n">
        <f aca="false">SUMPRODUCT(($B$4:$B$73&lt;&gt;"")*(V4:V73=""))</f>
        <v>0</v>
      </c>
      <c r="W78" s="4" t="n">
        <f aca="false">SUMPRODUCT(($B$4:$B$73&lt;&gt;"")*(W4:W73=""))</f>
        <v>0</v>
      </c>
      <c r="X78" s="4" t="n">
        <f aca="false">SUMPRODUCT(($B$4:$B$73&lt;&gt;"")*(X4:X73=""))</f>
        <v>0</v>
      </c>
      <c r="Y78" s="4" t="n">
        <f aca="false">SUMPRODUCT(($B$4:$B$73&lt;&gt;"")*(Y4:Y73=""))</f>
        <v>0</v>
      </c>
      <c r="Z78" s="4" t="n">
        <f aca="false">SUMPRODUCT(($B$4:$B$73&lt;&gt;"")*(Z4:Z73=""))</f>
        <v>0</v>
      </c>
      <c r="AA78" s="4" t="n">
        <f aca="false">SUMPRODUCT(($B$4:$B$73&lt;&gt;"")*(AA4:AA73=""))</f>
        <v>0</v>
      </c>
      <c r="AB78" s="4" t="n">
        <f aca="false">SUMPRODUCT(($B$4:$B$73&lt;&gt;"")*(AB4:AB73=""))</f>
        <v>0</v>
      </c>
      <c r="AC78" s="4" t="n">
        <f aca="false">SUMPRODUCT(($B$4:$B$73&lt;&gt;"")*(AC4:AC73=""))</f>
        <v>0</v>
      </c>
      <c r="AD78" s="4" t="n">
        <f aca="false">SUMPRODUCT(($B$4:$B$73&lt;&gt;"")*(AD4:AD73=""))</f>
        <v>0</v>
      </c>
      <c r="AE78" s="4" t="n">
        <f aca="false">SUMPRODUCT(($B$4:$B$73&lt;&gt;"")*(AE4:AE73=""))</f>
        <v>0</v>
      </c>
      <c r="AF78" s="4" t="n">
        <f aca="false">SUMPRODUCT(($B$4:$B$73&lt;&gt;"")*(AF4:AF73=""))</f>
        <v>0</v>
      </c>
      <c r="AG78" s="4" t="n">
        <f aca="false">SUMPRODUCT(($B$4:$B$73&lt;&gt;"")*(AG4:AG73=""))</f>
        <v>0</v>
      </c>
      <c r="AH78" s="4" t="n">
        <f aca="false">SUMPRODUCT(($B$4:$B$73&lt;&gt;"")*(AH4:AH73=""))</f>
        <v>0</v>
      </c>
      <c r="AI78" s="4" t="n">
        <f aca="false">SUMPRODUCT(($B$4:$B$73&lt;&gt;"")*(AI4:AI73=""))</f>
        <v>0</v>
      </c>
      <c r="AJ78" s="4" t="n">
        <f aca="false">SUMPRODUCT(($B$4:$B$73&lt;&gt;"")*(AJ4:AJ73=""))</f>
        <v>0</v>
      </c>
      <c r="AK78" s="4" t="n">
        <f aca="false">SUMPRODUCT(($B$4:$B$73&lt;&gt;"")*(AK4:AK73=""))</f>
        <v>0</v>
      </c>
    </row>
  </sheetData>
  <mergeCells count="15">
    <mergeCell ref="A1:AP1"/>
    <mergeCell ref="A2:A3"/>
    <mergeCell ref="B2:B3"/>
    <mergeCell ref="C2:C3"/>
    <mergeCell ref="D2:D3"/>
    <mergeCell ref="E2:N2"/>
    <mergeCell ref="O2:S2"/>
    <mergeCell ref="T2:X2"/>
    <mergeCell ref="Z2:AE2"/>
    <mergeCell ref="AG2:AI2"/>
    <mergeCell ref="AL2:AL3"/>
    <mergeCell ref="AM2:AM3"/>
    <mergeCell ref="AN2:AN3"/>
    <mergeCell ref="AO2:AO3"/>
    <mergeCell ref="AP2:AP3"/>
  </mergeCells>
  <conditionalFormatting sqref="E4:AK73">
    <cfRule type="cellIs" priority="2" operator="equal" aboveAverage="0" equalAverage="0" bottom="0" percent="0" rank="0" text="" dxfId="0">
      <formula>"صح"</formula>
    </cfRule>
    <cfRule type="cellIs" priority="3" operator="equal" aboveAverage="0" equalAverage="0" bottom="0" percent="0" rank="0" text="" dxfId="1">
      <formula>"خطأ"</formula>
    </cfRule>
    <cfRule type="cellIs" priority="4" operator="equal" aboveAverage="0" equalAverage="0" bottom="0" percent="0" rank="0" text="" dxfId="0">
      <formula>"تم"</formula>
    </cfRule>
  </conditionalFormatting>
  <conditionalFormatting sqref="AP4:AP73">
    <cfRule type="cellIs" priority="5" operator="equal" aboveAverage="0" equalAverage="0" bottom="0" percent="0" rank="0" text="" dxfId="2">
      <formula>"لم يحل"</formula>
    </cfRule>
    <cfRule type="cellIs" priority="6" operator="equal" aboveAverage="0" equalAverage="0" bottom="0" percent="0" rank="0" text="" dxfId="3">
      <formula>"حلّ جزئياً"</formula>
    </cfRule>
    <cfRule type="cellIs" priority="7" operator="equal" aboveAverage="0" equalAverage="0" bottom="0" percent="0" rank="0" text="" dxfId="4">
      <formula>"حلّ كاملاً"</formula>
    </cfRule>
  </conditionalFormatting>
  <conditionalFormatting sqref="AO4:AO73">
    <cfRule type="expression" priority="8" aboveAverage="0" equalAverage="0" bottom="0" percent="0" rank="0" text="" dxfId="5">
      <formula>AND(ISNUMBER(AO4),AO4&gt;0)</formula>
    </cfRule>
  </conditionalFormatting>
  <dataValidations count="2">
    <dataValidation allowBlank="true" errorStyle="stop" operator="between" showDropDown="false" showErrorMessage="false" showInputMessage="false" sqref="E4:AJ73" type="list">
      <formula1>"صح,خطأ"</formula1>
      <formula2>0</formula2>
    </dataValidation>
    <dataValidation allowBlank="true" errorStyle="stop" operator="between" showDropDown="false" showErrorMessage="false" showInputMessage="false" sqref="AK4:AK73" type="list">
      <formula1>"تم"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95"/>
  </cols>
  <sheetData>
    <row r="1" customFormat="false" ht="15" hidden="false" customHeight="false" outlineLevel="0" collapsed="false">
      <c r="A1" s="8" t="s">
        <v>41</v>
      </c>
      <c r="B1" s="8" t="s">
        <v>42</v>
      </c>
      <c r="C1" s="8" t="s">
        <v>43</v>
      </c>
      <c r="D1" s="8" t="s">
        <v>44</v>
      </c>
    </row>
    <row r="2" customFormat="false" ht="15" hidden="false" customHeight="false" outlineLevel="0" collapsed="false">
      <c r="A2" s="9" t="s">
        <v>45</v>
      </c>
      <c r="B2" s="9" t="s">
        <v>46</v>
      </c>
      <c r="C2" s="9" t="s">
        <v>47</v>
      </c>
      <c r="D2" s="9" t="s">
        <v>48</v>
      </c>
    </row>
    <row r="3" customFormat="false" ht="15" hidden="false" customHeight="false" outlineLevel="0" collapsed="false">
      <c r="A3" s="9" t="s">
        <v>45</v>
      </c>
      <c r="B3" s="9" t="s">
        <v>49</v>
      </c>
      <c r="C3" s="9" t="s">
        <v>47</v>
      </c>
      <c r="D3" s="9" t="s">
        <v>50</v>
      </c>
    </row>
    <row r="4" customFormat="false" ht="15" hidden="false" customHeight="false" outlineLevel="0" collapsed="false">
      <c r="A4" s="9" t="s">
        <v>45</v>
      </c>
      <c r="B4" s="9" t="s">
        <v>51</v>
      </c>
      <c r="C4" s="9" t="s">
        <v>47</v>
      </c>
      <c r="D4" s="9" t="s">
        <v>52</v>
      </c>
    </row>
    <row r="5" customFormat="false" ht="15" hidden="false" customHeight="false" outlineLevel="0" collapsed="false">
      <c r="A5" s="9" t="s">
        <v>45</v>
      </c>
      <c r="B5" s="9" t="s">
        <v>53</v>
      </c>
      <c r="C5" s="9" t="s">
        <v>47</v>
      </c>
      <c r="D5" s="9" t="s">
        <v>54</v>
      </c>
    </row>
    <row r="6" customFormat="false" ht="15" hidden="false" customHeight="false" outlineLevel="0" collapsed="false">
      <c r="A6" s="9" t="s">
        <v>45</v>
      </c>
      <c r="B6" s="9" t="s">
        <v>55</v>
      </c>
      <c r="C6" s="9" t="s">
        <v>47</v>
      </c>
      <c r="D6" s="9" t="s">
        <v>56</v>
      </c>
    </row>
    <row r="7" customFormat="false" ht="15" hidden="false" customHeight="false" outlineLevel="0" collapsed="false">
      <c r="A7" s="9" t="s">
        <v>45</v>
      </c>
      <c r="B7" s="9" t="s">
        <v>57</v>
      </c>
      <c r="C7" s="9" t="s">
        <v>47</v>
      </c>
      <c r="D7" s="9" t="s">
        <v>58</v>
      </c>
    </row>
    <row r="8" customFormat="false" ht="15" hidden="false" customHeight="false" outlineLevel="0" collapsed="false">
      <c r="A8" s="9" t="s">
        <v>45</v>
      </c>
      <c r="B8" s="9" t="s">
        <v>59</v>
      </c>
      <c r="C8" s="9" t="s">
        <v>60</v>
      </c>
      <c r="D8" s="9" t="s">
        <v>61</v>
      </c>
    </row>
    <row r="9" customFormat="false" ht="15" hidden="false" customHeight="false" outlineLevel="0" collapsed="false">
      <c r="A9" s="9" t="s">
        <v>45</v>
      </c>
      <c r="B9" s="9" t="s">
        <v>62</v>
      </c>
      <c r="C9" s="9" t="s">
        <v>60</v>
      </c>
      <c r="D9" s="9" t="s">
        <v>63</v>
      </c>
    </row>
    <row r="10" customFormat="false" ht="15" hidden="false" customHeight="false" outlineLevel="0" collapsed="false">
      <c r="A10" s="9" t="s">
        <v>45</v>
      </c>
      <c r="B10" s="9" t="s">
        <v>64</v>
      </c>
      <c r="C10" s="9" t="s">
        <v>60</v>
      </c>
      <c r="D10" s="9" t="s">
        <v>65</v>
      </c>
    </row>
    <row r="11" customFormat="false" ht="15" hidden="false" customHeight="false" outlineLevel="0" collapsed="false">
      <c r="A11" s="9" t="s">
        <v>45</v>
      </c>
      <c r="B11" s="9" t="s">
        <v>66</v>
      </c>
      <c r="C11" s="9" t="s">
        <v>60</v>
      </c>
      <c r="D11" s="9" t="s">
        <v>67</v>
      </c>
    </row>
    <row r="12" customFormat="false" ht="15" hidden="false" customHeight="false" outlineLevel="0" collapsed="false">
      <c r="A12" s="9" t="s">
        <v>68</v>
      </c>
      <c r="B12" s="9" t="s">
        <v>69</v>
      </c>
      <c r="C12" s="9" t="s">
        <v>60</v>
      </c>
      <c r="D12" s="9" t="s">
        <v>70</v>
      </c>
    </row>
    <row r="13" customFormat="false" ht="23.85" hidden="false" customHeight="false" outlineLevel="0" collapsed="false">
      <c r="A13" s="9" t="s">
        <v>68</v>
      </c>
      <c r="B13" s="9" t="s">
        <v>71</v>
      </c>
      <c r="C13" s="9" t="s">
        <v>60</v>
      </c>
      <c r="D13" s="9" t="s">
        <v>72</v>
      </c>
    </row>
    <row r="14" customFormat="false" ht="15" hidden="false" customHeight="false" outlineLevel="0" collapsed="false">
      <c r="A14" s="9" t="s">
        <v>68</v>
      </c>
      <c r="B14" s="9" t="s">
        <v>73</v>
      </c>
      <c r="C14" s="9" t="s">
        <v>60</v>
      </c>
      <c r="D14" s="9" t="s">
        <v>74</v>
      </c>
    </row>
    <row r="15" customFormat="false" ht="15" hidden="false" customHeight="false" outlineLevel="0" collapsed="false">
      <c r="A15" s="9" t="s">
        <v>68</v>
      </c>
      <c r="B15" s="9" t="s">
        <v>75</v>
      </c>
      <c r="C15" s="9" t="s">
        <v>60</v>
      </c>
      <c r="D15" s="9" t="s">
        <v>76</v>
      </c>
    </row>
    <row r="16" customFormat="false" ht="15" hidden="false" customHeight="false" outlineLevel="0" collapsed="false">
      <c r="A16" s="9" t="s">
        <v>68</v>
      </c>
      <c r="B16" s="9" t="s">
        <v>77</v>
      </c>
      <c r="C16" s="9" t="s">
        <v>60</v>
      </c>
      <c r="D16" s="9" t="s">
        <v>78</v>
      </c>
    </row>
    <row r="17" customFormat="false" ht="15" hidden="false" customHeight="false" outlineLevel="0" collapsed="false">
      <c r="A17" s="9" t="s">
        <v>79</v>
      </c>
      <c r="B17" s="9" t="s">
        <v>80</v>
      </c>
      <c r="C17" s="9" t="s">
        <v>81</v>
      </c>
      <c r="D17" s="9" t="s">
        <v>82</v>
      </c>
    </row>
    <row r="18" customFormat="false" ht="15" hidden="false" customHeight="false" outlineLevel="0" collapsed="false">
      <c r="A18" s="9" t="s">
        <v>79</v>
      </c>
      <c r="B18" s="9" t="s">
        <v>83</v>
      </c>
      <c r="C18" s="9" t="s">
        <v>81</v>
      </c>
      <c r="D18" s="9" t="s">
        <v>84</v>
      </c>
    </row>
    <row r="19" customFormat="false" ht="15" hidden="false" customHeight="false" outlineLevel="0" collapsed="false">
      <c r="A19" s="9" t="s">
        <v>79</v>
      </c>
      <c r="B19" s="9" t="s">
        <v>85</v>
      </c>
      <c r="C19" s="9" t="s">
        <v>81</v>
      </c>
      <c r="D19" s="9" t="s">
        <v>86</v>
      </c>
    </row>
    <row r="20" customFormat="false" ht="15" hidden="false" customHeight="false" outlineLevel="0" collapsed="false">
      <c r="A20" s="9" t="s">
        <v>79</v>
      </c>
      <c r="B20" s="9" t="s">
        <v>87</v>
      </c>
      <c r="C20" s="9" t="s">
        <v>81</v>
      </c>
      <c r="D20" s="9" t="s">
        <v>88</v>
      </c>
    </row>
    <row r="21" customFormat="false" ht="15" hidden="false" customHeight="false" outlineLevel="0" collapsed="false">
      <c r="A21" s="9" t="s">
        <v>79</v>
      </c>
      <c r="B21" s="9" t="s">
        <v>89</v>
      </c>
      <c r="C21" s="9" t="s">
        <v>81</v>
      </c>
      <c r="D21" s="9" t="s">
        <v>90</v>
      </c>
    </row>
    <row r="22" customFormat="false" ht="23.85" hidden="false" customHeight="false" outlineLevel="0" collapsed="false">
      <c r="A22" s="9" t="s">
        <v>91</v>
      </c>
      <c r="B22" s="9" t="s">
        <v>92</v>
      </c>
      <c r="C22" s="9" t="s">
        <v>81</v>
      </c>
      <c r="D22" s="9" t="s">
        <v>93</v>
      </c>
    </row>
    <row r="23" customFormat="false" ht="15" hidden="false" customHeight="false" outlineLevel="0" collapsed="false">
      <c r="A23" s="9" t="s">
        <v>94</v>
      </c>
      <c r="B23" s="9" t="s">
        <v>30</v>
      </c>
      <c r="C23" s="9" t="s">
        <v>95</v>
      </c>
      <c r="D23" s="9" t="s">
        <v>96</v>
      </c>
    </row>
    <row r="24" customFormat="false" ht="15" hidden="false" customHeight="false" outlineLevel="0" collapsed="false">
      <c r="A24" s="9" t="s">
        <v>94</v>
      </c>
      <c r="B24" s="9" t="s">
        <v>31</v>
      </c>
      <c r="C24" s="9" t="s">
        <v>95</v>
      </c>
      <c r="D24" s="9" t="s">
        <v>97</v>
      </c>
    </row>
    <row r="25" customFormat="false" ht="15" hidden="false" customHeight="false" outlineLevel="0" collapsed="false">
      <c r="A25" s="9" t="s">
        <v>94</v>
      </c>
      <c r="B25" s="9" t="s">
        <v>32</v>
      </c>
      <c r="C25" s="9" t="s">
        <v>95</v>
      </c>
      <c r="D25" s="9" t="s">
        <v>98</v>
      </c>
    </row>
    <row r="26" customFormat="false" ht="15" hidden="false" customHeight="false" outlineLevel="0" collapsed="false">
      <c r="A26" s="9" t="s">
        <v>94</v>
      </c>
      <c r="B26" s="9" t="s">
        <v>33</v>
      </c>
      <c r="C26" s="9" t="s">
        <v>95</v>
      </c>
      <c r="D26" s="9" t="s">
        <v>99</v>
      </c>
    </row>
    <row r="27" customFormat="false" ht="15" hidden="false" customHeight="false" outlineLevel="0" collapsed="false">
      <c r="A27" s="9" t="s">
        <v>94</v>
      </c>
      <c r="B27" s="9" t="s">
        <v>34</v>
      </c>
      <c r="C27" s="9" t="s">
        <v>95</v>
      </c>
      <c r="D27" s="9" t="s">
        <v>100</v>
      </c>
    </row>
    <row r="28" customFormat="false" ht="15" hidden="false" customHeight="false" outlineLevel="0" collapsed="false">
      <c r="A28" s="9" t="s">
        <v>94</v>
      </c>
      <c r="B28" s="9" t="s">
        <v>35</v>
      </c>
      <c r="C28" s="9" t="s">
        <v>95</v>
      </c>
      <c r="D28" s="9" t="s">
        <v>101</v>
      </c>
    </row>
    <row r="29" customFormat="false" ht="15" hidden="false" customHeight="false" outlineLevel="0" collapsed="false">
      <c r="A29" s="9" t="s">
        <v>102</v>
      </c>
      <c r="B29" s="9" t="s">
        <v>92</v>
      </c>
      <c r="C29" s="9" t="s">
        <v>95</v>
      </c>
      <c r="D29" s="9" t="s">
        <v>103</v>
      </c>
    </row>
    <row r="30" customFormat="false" ht="15" hidden="false" customHeight="false" outlineLevel="0" collapsed="false">
      <c r="A30" s="9" t="s">
        <v>104</v>
      </c>
      <c r="B30" s="9" t="s">
        <v>105</v>
      </c>
      <c r="C30" s="9" t="s">
        <v>106</v>
      </c>
      <c r="D30" s="9" t="s">
        <v>107</v>
      </c>
    </row>
    <row r="31" customFormat="false" ht="15" hidden="false" customHeight="false" outlineLevel="0" collapsed="false">
      <c r="A31" s="9" t="s">
        <v>104</v>
      </c>
      <c r="B31" s="9" t="s">
        <v>108</v>
      </c>
      <c r="C31" s="9" t="s">
        <v>106</v>
      </c>
      <c r="D31" s="9" t="s">
        <v>109</v>
      </c>
    </row>
    <row r="32" customFormat="false" ht="15" hidden="false" customHeight="false" outlineLevel="0" collapsed="false">
      <c r="A32" s="9" t="s">
        <v>104</v>
      </c>
      <c r="B32" s="9" t="s">
        <v>110</v>
      </c>
      <c r="C32" s="9" t="s">
        <v>106</v>
      </c>
      <c r="D32" s="9" t="s">
        <v>111</v>
      </c>
    </row>
    <row r="33" customFormat="false" ht="15" hidden="false" customHeight="false" outlineLevel="0" collapsed="false">
      <c r="A33" s="9" t="s">
        <v>112</v>
      </c>
      <c r="B33" s="9" t="s">
        <v>113</v>
      </c>
      <c r="C33" s="9" t="s">
        <v>106</v>
      </c>
      <c r="D33" s="9" t="s">
        <v>114</v>
      </c>
    </row>
    <row r="34" customFormat="false" ht="15" hidden="false" customHeight="false" outlineLevel="0" collapsed="false">
      <c r="A34" s="9" t="s">
        <v>115</v>
      </c>
      <c r="B34" s="9" t="s">
        <v>116</v>
      </c>
      <c r="C34" s="9" t="s">
        <v>106</v>
      </c>
      <c r="D34" s="9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0" t="s">
        <v>118</v>
      </c>
    </row>
    <row r="2" customFormat="false" ht="15" hidden="false" customHeight="false" outlineLevel="0" collapsed="false">
      <c r="A2" s="10" t="s">
        <v>119</v>
      </c>
    </row>
    <row r="3" customFormat="false" ht="15" hidden="false" customHeight="false" outlineLevel="0" collapsed="false">
      <c r="A3" s="10" t="s">
        <v>120</v>
      </c>
    </row>
    <row r="4" customFormat="false" ht="15" hidden="false" customHeight="false" outlineLevel="0" collapsed="false">
      <c r="A4" s="10" t="s">
        <v>121</v>
      </c>
    </row>
    <row r="5" customFormat="false" ht="15" hidden="false" customHeight="false" outlineLevel="0" collapsed="false">
      <c r="A5" s="10" t="s">
        <v>122</v>
      </c>
    </row>
    <row r="6" customFormat="false" ht="15" hidden="false" customHeight="false" outlineLevel="0" collapsed="false">
      <c r="A6" s="10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2026-10-26T02:40:27Z</dcterms:created>
  <dc:creator>openpyxl</dc:creator>
  <dc:description/>
  <dc:language>en-US</dc:language>
  <cp:lastModifiedBy/>
  <dcterms:modified xsi:type="dcterms:W3CDTF">2026-10-26T02:40:27Z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